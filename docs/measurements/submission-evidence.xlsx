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c0539eafc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5dfadbf1a14fe5"/>
    <x:sheet xmlns:r="http://schemas.openxmlformats.org/officeDocument/2006/relationships" name="Candidates" sheetId="2" r:id="Rab47351d05b64c30"/>
    <x:sheet xmlns:r="http://schemas.openxmlformats.org/officeDocument/2006/relationships" name="Cohorts" sheetId="3" r:id="R50b111c5648d4f0f"/>
    <x:sheet xmlns:r="http://schemas.openxmlformats.org/officeDocument/2006/relationships" name="Attempts" sheetId="4" r:id="R5de655cea1994135"/>
    <x:sheet xmlns:r="http://schemas.openxmlformats.org/officeDocument/2006/relationships" name="Runs" sheetId="5" r:id="Ra3fad66f4685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5">
    <x:font>
      <x:sz val="11"/>
      <x:name val="Carlito"/>
    </x:font>
    <x:font>
      <x:sz val="10"/>
      <x:color rgb="FF526579"/>
      <x:name val="Arial"/>
    </x:font>
    <x:font>
      <x:b/>
      <x:sz val="14"/>
      <x:color rgb="FF243B53"/>
      <x:name val="Arial"/>
    </x:font>
    <x:font>
      <x:sz val="10"/>
      <x:color rgb="FF243B5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2f2cf0b1e4797" /><Relationship Type="http://schemas.openxmlformats.org/officeDocument/2006/relationships/theme" Target="/xl/theme/theme1.xml" Id="R8329b6e689a94c10" /><Relationship Type="http://schemas.openxmlformats.org/officeDocument/2006/relationships/sharedStrings" Target="/xl/sharedStrings.xml" Id="R738c6556cd8d4dbd" /><Relationship Type="http://schemas.openxmlformats.org/officeDocument/2006/relationships/worksheet" Target="/xl/worksheets/sheet1.xml" Id="R005dfadbf1a14fe5" /><Relationship Type="http://schemas.openxmlformats.org/officeDocument/2006/relationships/worksheet" Target="/xl/worksheets/sheet2.xml" Id="Rab47351d05b64c30" /><Relationship Type="http://schemas.openxmlformats.org/officeDocument/2006/relationships/worksheet" Target="/xl/worksheets/sheet3.xml" Id="R50b111c5648d4f0f" /><Relationship Type="http://schemas.openxmlformats.org/officeDocument/2006/relationships/worksheet" Target="/xl/worksheets/sheet4.xml" Id="R5de655cea1994135" /><Relationship Type="http://schemas.openxmlformats.org/officeDocument/2006/relationships/worksheet" Target="/xl/worksheets/sheet5.xml" Id="Ra3fad66f4685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55" hidden="0" customWidth="1"/>
    <x:col min="4" max="4" width="16" hidden="0" customWidth="1"/>
    <x:col min="5" max="5" width="14" hidden="0" customWidth="1"/>
    <x:col min="6" max="6" width="21" hidden="0" customWidth="1"/>
  </x:cols>
  <x:sheetData>
    <x:row r="2" ht="25" customHeight="1">
      <x:c r="A2" s="2" t="str">
        <x:v>API 실측 통합 근거자료</x:v>
      </x:c>
    </x:row>
    <x:row r="4" ht="25" customHeight="1">
      <x:c r="A4" s="1" t="str">
        <x:v>2026-10-12 KST. 고유 종료 EXTERNAL 실행만 집계. 전체 수치는 기록 재고이며 단일 성능 표본이 아님.</x:v>
      </x:c>
    </x:row>
    <x:row r="6" ht="32" customHeight="1">
      <x:c r="A6" s="7" t="str">
        <x:v>집단</x:v>
      </x:c>
      <x:c r="B6" s="7" t="str">
        <x:v>실행 n</x:v>
      </x:c>
      <x:c r="C6" s="7" t="str">
        <x:v>실제 시도 n</x:v>
      </x:c>
      <x:c r="D6" s="7" t="str">
        <x:v>완료 HTTP n</x:v>
      </x:c>
      <x:c r="E6" s="7" t="str">
        <x:v>POST n</x:v>
      </x:c>
      <x:c r="F6" s="7" t="str">
        <x:v>중단 관측 n</x:v>
      </x:c>
    </x:row>
    <x:row r="7" ht="25" customHeight="1">
      <x:c r="A7" s="4" t="str">
        <x:v>INITIAL_11_CASES</x:v>
      </x:c>
      <x:c r="B7" s="4" t="n">
        <x:v>15</x:v>
      </x:c>
      <x:c r="C7" s="4" t="n">
        <x:f>COUNTIFS(Attempts!$B$6:$B$70,A7)</x:f>
        <x:v>34</x:v>
      </x:c>
      <x:c r="D7" s="4" t="n">
        <x:f>COUNTIFS(Attempts!$B$6:$B$70,A7,Attempts!$E$6:$E$70,"HTTP_RESPONSE")</x:f>
        <x:v>31</x:v>
      </x:c>
      <x:c r="E7" s="4" t="n">
        <x:f>COUNTIFS(Attempts!$B$6:$B$70,A7,Attempts!$D$6:$D$70,"CREATE")</x:f>
        <x:v>6</x:v>
      </x:c>
      <x:c r="F7" s="4" t="n">
        <x:f>C7-D7</x:f>
        <x:v>3</x:v>
      </x:c>
    </x:row>
    <x:row r="8" ht="25" customHeight="1">
      <x:c r="A8" s="4" t="str">
        <x:v>FOLLOWUP_130_HTTP</x:v>
      </x:c>
      <x:c r="B8" s="4" t="n">
        <x:v>13</x:v>
      </x:c>
      <x:c r="C8" s="4" t="n">
        <x:f>COUNTIFS(Attempts!$B$6:$B$70,A8)</x:f>
        <x:v>18</x:v>
      </x:c>
      <x:c r="D8" s="4" t="n">
        <x:f>COUNTIFS(Attempts!$B$6:$B$70,A8,Attempts!$E$6:$E$70,"HTTP_RESPONSE")</x:f>
        <x:v>16</x:v>
      </x:c>
      <x:c r="E8" s="4" t="n">
        <x:f>COUNTIFS(Attempts!$B$6:$B$70,A8,Attempts!$D$6:$D$70,"CREATE")</x:f>
        <x:v>2</x:v>
      </x:c>
      <x:c r="F8" s="4" t="n">
        <x:f>C8-D8</x:f>
        <x:v>2</x:v>
      </x:c>
    </x:row>
    <x:row r="9" ht="25" customHeight="1">
      <x:c r="A9" s="4" t="str">
        <x:v>OTHER_EXPLORATORY</x:v>
      </x:c>
      <x:c r="B9" s="4" t="n">
        <x:v>11</x:v>
      </x:c>
      <x:c r="C9" s="4" t="n">
        <x:f>COUNTIFS(Attempts!$B$6:$B$70,A9)</x:f>
        <x:v>13</x:v>
      </x:c>
      <x:c r="D9" s="4" t="n">
        <x:f>COUNTIFS(Attempts!$B$6:$B$70,A9,Attempts!$E$6:$E$70,"HTTP_RESPONSE")</x:f>
        <x:v>8</x:v>
      </x:c>
      <x:c r="E9" s="4" t="n">
        <x:f>COUNTIFS(Attempts!$B$6:$B$70,A9,Attempts!$D$6:$D$70,"CREATE")</x:f>
        <x:v>0</x:v>
      </x:c>
      <x:c r="F9" s="4" t="n">
        <x:f>C9-D9</x:f>
        <x:v>5</x:v>
      </x:c>
    </x:row>
    <x:row r="12" ht="32" customHeight="1">
      <x:c r="A12" s="7" t="str">
        <x:v>HTTP 코드</x:v>
      </x:c>
      <x:c r="B12" s="7" t="str">
        <x:v>건수</x:v>
      </x:c>
      <x:c r="C12" s="7" t="str">
        <x:v>완료 HTTP 분모 n</x:v>
      </x:c>
      <x:c r="D12" s="7" t="str">
        <x:v>기록 내 비율</x:v>
      </x:c>
    </x:row>
    <x:row r="13" ht="25" customHeight="1">
      <x:c r="A13" s="4" t="n">
        <x:v>200</x:v>
      </x:c>
      <x:c r="B13" s="4" t="n">
        <x:f>COUNTIFS(Attempts!$F$6:$F$70,A13,Attempts!$E$6:$E$70,"HTTP_RESPONSE")</x:f>
        <x:v>18</x:v>
      </x:c>
      <x:c r="C13" s="4" t="n">
        <x:f>SUM(D7:D9)</x:f>
        <x:v>55</x:v>
      </x:c>
      <x:c r="D13" s="9" t="n">
        <x:f>B13/C13</x:f>
        <x:v>0.32727272727272727</x:v>
      </x:c>
    </x:row>
    <x:row r="14" ht="25" customHeight="1">
      <x:c r="A14" s="4" t="n">
        <x:v>201</x:v>
      </x:c>
      <x:c r="B14" s="4" t="n">
        <x:f>COUNTIFS(Attempts!$F$6:$F$70,A14,Attempts!$E$6:$E$70,"HTTP_RESPONSE")</x:f>
        <x:v>8</x:v>
      </x:c>
      <x:c r="C14" s="4" t="n">
        <x:f>SUM(D7:D9)</x:f>
        <x:v>55</x:v>
      </x:c>
      <x:c r="D14" s="9" t="n">
        <x:f>B14/C14</x:f>
        <x:v>0.14545454545454545</x:v>
      </x:c>
    </x:row>
    <x:row r="15" ht="25" customHeight="1">
      <x:c r="A15" s="4" t="n">
        <x:v>500</x:v>
      </x:c>
      <x:c r="B15" s="4" t="n">
        <x:f>COUNTIFS(Attempts!$F$6:$F$70,A15,Attempts!$E$6:$E$70,"HTTP_RESPONSE")</x:f>
        <x:v>18</x:v>
      </x:c>
      <x:c r="C15" s="4" t="n">
        <x:f>SUM(D7:D9)</x:f>
        <x:v>55</x:v>
      </x:c>
      <x:c r="D15" s="9" t="n">
        <x:f>B15/C15</x:f>
        <x:v>0.32727272727272727</x:v>
      </x:c>
    </x:row>
    <x:row r="16" ht="25" customHeight="1">
      <x:c r="A16" s="4" t="n">
        <x:v>503</x:v>
      </x:c>
      <x:c r="B16" s="4" t="n">
        <x:f>COUNTIFS(Attempts!$F$6:$F$70,A16,Attempts!$E$6:$E$70,"HTTP_RESPONSE")</x:f>
        <x:v>11</x:v>
      </x:c>
      <x:c r="C16" s="4" t="n">
        <x:f>SUM(D7:D9)</x:f>
        <x:v>55</x:v>
      </x:c>
      <x:c r="D16" s="9" t="n">
        <x:f>B16/C16</x:f>
        <x:v>0.2</x:v>
      </x:c>
    </x:row>
    <x:row r="18" ht="25" customHeight="1">
      <x:c r="A18" s="1" t="str">
        <x:v>HTTP 코드 미관측: 요청 타임아웃8건·취소2건 / 실제 시도65. 중단 경과를 정상 지연으로 바꾸지 않음.</x:v>
      </x:c>
    </x:row>
    <x:row r="20" ht="32" customHeight="1">
      <x:c r="A20" s="7" t="str">
        <x:v>판단 대상</x:v>
      </x:c>
      <x:c r="B20" s="7" t="str">
        <x:v>실제 근거 n</x:v>
      </x:c>
      <x:c r="C20" s="7" t="str">
        <x:v>현재 결과</x:v>
      </x:c>
      <x:c r="D20" s="7" t="str">
        <x:v>운영 선택</x:v>
      </x:c>
    </x:row>
    <x:row r="21" ht="25" customHeight="1">
      <x:c r="A21" s="4" t="str">
        <x:v>실제 GET retry</x:v>
      </x:c>
      <x:c r="B21" s="4" t="n">
        <x:v>1</x:v>
      </x:c>
      <x:c r="C21" s="4" t="str">
        <x:v>503→30초 대기→500; 회복0/1</x:v>
      </x:c>
      <x:c r="D21" s="4" t="str">
        <x:v>TODO</x:v>
      </x:c>
    </x:row>
    <x:row r="22" ht="25" customHeight="1">
      <x:c r="A22" s="4" t="str">
        <x:v>pending 최종 발견</x:v>
      </x:c>
      <x:c r="B22" s="4" t="n">
        <x:v>0</x:v>
      </x:c>
      <x:c r="C22" s="4" t="str">
        <x:v>최종 상태·업무 시간 미확인</x:v>
      </x:c>
      <x:c r="D22" s="4" t="str">
        <x:v>TODO</x:v>
      </x:c>
    </x:row>
    <x:row r="23" ht="25" customHeight="1">
      <x:c r="A23" s="4" t="str">
        <x:v>중복 POST 비교 쌍</x:v>
      </x:c>
      <x:c r="B23" s="4" t="n">
        <x:v>2</x:v>
      </x:c>
      <x:c r="C23" s="4" t="str">
        <x:v>서로 다른ID2쌍; 이력 대조1쌍</x:v>
      </x:c>
      <x:c r="D23" s="4" t="str">
        <x:v>TODO</x:v>
      </x:c>
    </x:row>
    <x:row r="24" ht="25" customHeight="1">
      <x:c r="A24" s="4" t="str">
        <x:v>C03 동시성1</x:v>
      </x:c>
      <x:c r="B24" s="4" t="n">
        <x:v>3</x:v>
      </x:c>
      <x:c r="C24" s="4" t="str">
        <x:v>200→200→503; 동시성2·3 n=0</x:v>
      </x:c>
      <x:c r="D24" s="4" t="str">
        <x:v>TODO</x:v>
      </x:c>
    </x:row>
    <x:row r="26" ht="25" customHeight="1">
      <x:c r="A26" s="1" t="str">
        <x:v>초기34와 후속18은 별도 승인 실행군. 후속 잔여112 HTTP/POST2는 미시행 예산이며 표본이 아님.</x:v>
      </x:c>
    </x:row>
    <x:row r="27" ht="25" customHeight="1">
      <x:c r="A27" s="1" t="str">
        <x:v>개별 run·상태별 Type7 통계는 Cohorts. 기존 캠페인 조건별 E01–E11 분석은 제출 문서에서 별도 보존.</x:v>
      </x:c>
    </x:row>
    <x:row r="28" ht="25" customHeight="1">
      <x:c r="A28" s="1" t="str">
        <x:v>후보·추가 실험·최종 사용자 결정은 구분. 실제 키·인적사항·응답 본문을 포함하지 않음.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22" hidden="0" customWidth="1"/>
  </x:cols>
  <x:sheetData>
    <x:row r="2" ht="25" customHeight="1">
      <x:c r="A2" s="2" t="str">
        <x:v>Candidates</x:v>
      </x:c>
    </x:row>
    <x:row r="4" ht="25" customHeight="1">
      <x:c r="A4" s="1" t="str">
        <x:v>후보 입력은 실측이 아님. 초과 수는 정상 완료 관측의 재분류이며 다른 timeout의 성공률 예측이 아님.</x:v>
      </x:c>
    </x:row>
    <x:row r="6" ht="32" customHeight="1">
      <x:c r="A6" s="7" t="str">
        <x:v>run ID</x:v>
      </x:c>
      <x:c r="B6" s="7" t="str">
        <x:v>Endpoint</x:v>
      </x:c>
      <x:c r="C6" s="7" t="str">
        <x:v>후보 ms</x:v>
      </x:c>
      <x:c r="D6" s="7" t="str">
        <x:v>정상 완료 n</x:v>
      </x:c>
      <x:c r="E6" s="7" t="str">
        <x:v>초과 n</x:v>
      </x:c>
      <x:c r="F6" s="7" t="str">
        <x:v>초과 비율</x:v>
      </x:c>
    </x:row>
    <x:row r="7" ht="25" customHeight="1">
      <x:c r="A7" s="4" t="str">
        <x:v>2bc4b99c-502d-4f1b-9fbb-9a767c193833</x:v>
      </x:c>
      <x:c r="B7" s="4" t="str">
        <x:v>LIST</x:v>
      </x:c>
      <x:c r="C7" s="10" t="n">
        <x:v>10000</x:v>
      </x:c>
      <x:c r="D7" s="4" t="n">
        <x:f>COUNTIFS(Attempts!$A$6:$A$70,A7,Attempts!$D$6:$D$70,B7,Attempts!$E$6:$E$70,"HTTP_RESPONSE",Attempts!$F$6:$F$70,"&gt;=200",Attempts!$F$6:$F$70,"&lt;300")</x:f>
        <x:v>1</x:v>
      </x:c>
      <x:c r="E7" s="4" t="n">
        <x:f>COUNTIFS(Attempts!$A$6:$A$70,A7,Attempts!$D$6:$D$70,B7,Attempts!$E$6:$E$70,"HTTP_RESPONSE",Attempts!$F$6:$F$70,"&gt;=200",Attempts!$F$6:$F$70,"&lt;300",Attempts!$G$6:$G$70,"&gt;"&amp;C7)</x:f>
        <x:v>1</x:v>
      </x:c>
      <x:c r="F7" s="9" t="n">
        <x:f>IF(D7=0,"TODO",E7/D7)</x:f>
        <x:v>1</x:v>
      </x:c>
    </x:row>
    <x:row r="8" ht="25" customHeight="1">
      <x:c r="A8" s="4" t="str">
        <x:v>2bc4b99c-502d-4f1b-9fbb-9a767c193833</x:v>
      </x:c>
      <x:c r="B8" s="4" t="str">
        <x:v>LIST</x:v>
      </x:c>
      <x:c r="C8" s="10" t="n">
        <x:v>30000</x:v>
      </x:c>
      <x:c r="D8" s="4" t="n">
        <x:f>COUNTIFS(Attempts!$A$6:$A$70,A8,Attempts!$D$6:$D$70,B8,Attempts!$E$6:$E$70,"HTTP_RESPONSE",Attempts!$F$6:$F$70,"&gt;=200",Attempts!$F$6:$F$70,"&lt;300")</x:f>
        <x:v>1</x:v>
      </x:c>
      <x:c r="E8" s="4" t="n">
        <x:f>COUNTIFS(Attempts!$A$6:$A$70,A8,Attempts!$D$6:$D$70,B8,Attempts!$E$6:$E$70,"HTTP_RESPONSE",Attempts!$F$6:$F$70,"&gt;=200",Attempts!$F$6:$F$70,"&lt;300",Attempts!$G$6:$G$70,"&gt;"&amp;C8)</x:f>
        <x:v>0</x:v>
      </x:c>
      <x:c r="F8" s="9" t="n">
        <x:f>IF(D8=0,"TODO",E8/D8)</x:f>
        <x:v>0</x:v>
      </x:c>
    </x:row>
    <x:row r="9" ht="25" customHeight="1">
      <x:c r="A9" s="4" t="str">
        <x:v>2bc4b99c-502d-4f1b-9fbb-9a767c193833</x:v>
      </x:c>
      <x:c r="B9" s="4" t="str">
        <x:v>LIST</x:v>
      </x:c>
      <x:c r="C9" s="10" t="n">
        <x:v>60000</x:v>
      </x:c>
      <x:c r="D9" s="4" t="n">
        <x:f>COUNTIFS(Attempts!$A$6:$A$70,A9,Attempts!$D$6:$D$70,B9,Attempts!$E$6:$E$70,"HTTP_RESPONSE",Attempts!$F$6:$F$70,"&gt;=200",Attempts!$F$6:$F$70,"&lt;300")</x:f>
        <x:v>1</x:v>
      </x:c>
      <x:c r="E9" s="4" t="n">
        <x:f>COUNTIFS(Attempts!$A$6:$A$70,A9,Attempts!$D$6:$D$70,B9,Attempts!$E$6:$E$70,"HTTP_RESPONSE",Attempts!$F$6:$F$70,"&gt;=200",Attempts!$F$6:$F$70,"&lt;300",Attempts!$G$6:$G$70,"&gt;"&amp;C9)</x:f>
        <x:v>0</x:v>
      </x:c>
      <x:c r="F9" s="9" t="n">
        <x:f>IF(D9=0,"TODO",E9/D9)</x:f>
        <x:v>0</x:v>
      </x:c>
    </x:row>
    <x:row r="10" ht="25" customHeight="1">
      <x:c r="A10" s="4" t="str">
        <x:v>7766daec-5f98-450b-89b8-7cd18f4683d2</x:v>
      </x:c>
      <x:c r="B10" s="4" t="str">
        <x:v>LIST</x:v>
      </x:c>
      <x:c r="C10" s="10" t="n">
        <x:v>10000</x:v>
      </x:c>
      <x:c r="D10" s="4" t="n">
        <x:f>COUNTIFS(Attempts!$A$6:$A$70,A10,Attempts!$D$6:$D$70,B10,Attempts!$E$6:$E$70,"HTTP_RESPONSE",Attempts!$F$6:$F$70,"&gt;=200",Attempts!$F$6:$F$70,"&lt;300")</x:f>
        <x:v>1</x:v>
      </x:c>
      <x:c r="E10" s="4" t="n">
        <x:f>COUNTIFS(Attempts!$A$6:$A$70,A10,Attempts!$D$6:$D$70,B10,Attempts!$E$6:$E$70,"HTTP_RESPONSE",Attempts!$F$6:$F$70,"&gt;=200",Attempts!$F$6:$F$70,"&lt;300",Attempts!$G$6:$G$70,"&gt;"&amp;C10)</x:f>
        <x:v>0</x:v>
      </x:c>
      <x:c r="F10" s="9" t="n">
        <x:f>IF(D10=0,"TODO",E10/D10)</x:f>
        <x:v>0</x:v>
      </x:c>
    </x:row>
    <x:row r="11" ht="25" customHeight="1">
      <x:c r="A11" s="4" t="str">
        <x:v>7766daec-5f98-450b-89b8-7cd18f4683d2</x:v>
      </x:c>
      <x:c r="B11" s="4" t="str">
        <x:v>LIST</x:v>
      </x:c>
      <x:c r="C11" s="10" t="n">
        <x:v>30000</x:v>
      </x:c>
      <x:c r="D11" s="4" t="n">
        <x:f>COUNTIFS(Attempts!$A$6:$A$70,A11,Attempts!$D$6:$D$70,B11,Attempts!$E$6:$E$70,"HTTP_RESPONSE",Attempts!$F$6:$F$70,"&gt;=200",Attempts!$F$6:$F$70,"&lt;300")</x:f>
        <x:v>1</x:v>
      </x:c>
      <x:c r="E11" s="4" t="n">
        <x:f>COUNTIFS(Attempts!$A$6:$A$70,A11,Attempts!$D$6:$D$70,B11,Attempts!$E$6:$E$70,"HTTP_RESPONSE",Attempts!$F$6:$F$70,"&gt;=200",Attempts!$F$6:$F$70,"&lt;300",Attempts!$G$6:$G$70,"&gt;"&amp;C11)</x:f>
        <x:v>0</x:v>
      </x:c>
      <x:c r="F11" s="9" t="n">
        <x:f>IF(D11=0,"TODO",E11/D11)</x:f>
        <x:v>0</x:v>
      </x:c>
    </x:row>
    <x:row r="12" ht="25" customHeight="1">
      <x:c r="A12" s="4" t="str">
        <x:v>7766daec-5f98-450b-89b8-7cd18f4683d2</x:v>
      </x:c>
      <x:c r="B12" s="4" t="str">
        <x:v>LIST</x:v>
      </x:c>
      <x:c r="C12" s="10" t="n">
        <x:v>60000</x:v>
      </x:c>
      <x:c r="D12" s="4" t="n">
        <x:f>COUNTIFS(Attempts!$A$6:$A$70,A12,Attempts!$D$6:$D$70,B12,Attempts!$E$6:$E$70,"HTTP_RESPONSE",Attempts!$F$6:$F$70,"&gt;=200",Attempts!$F$6:$F$70,"&lt;300")</x:f>
        <x:v>1</x:v>
      </x:c>
      <x:c r="E12" s="4" t="n">
        <x:f>COUNTIFS(Attempts!$A$6:$A$70,A12,Attempts!$D$6:$D$70,B12,Attempts!$E$6:$E$70,"HTTP_RESPONSE",Attempts!$F$6:$F$70,"&gt;=200",Attempts!$F$6:$F$70,"&lt;300",Attempts!$G$6:$G$70,"&gt;"&amp;C12)</x:f>
        <x:v>0</x:v>
      </x:c>
      <x:c r="F12" s="9" t="n">
        <x:f>IF(D12=0,"TODO",E12/D12)</x:f>
        <x:v>0</x:v>
      </x:c>
    </x:row>
    <x:row r="13" ht="25" customHeight="1">
      <x:c r="A13" s="4" t="str">
        <x:v>15b904a5-002f-4348-89d1-44f18868da03</x:v>
      </x:c>
      <x:c r="B13" s="4" t="str">
        <x:v>LIST</x:v>
      </x:c>
      <x:c r="C13" s="10" t="n">
        <x:v>10000</x:v>
      </x:c>
      <x:c r="D13" s="4" t="n">
        <x:f>COUNTIFS(Attempts!$A$6:$A$70,A13,Attempts!$D$6:$D$70,B13,Attempts!$E$6:$E$70,"HTTP_RESPONSE",Attempts!$F$6:$F$70,"&gt;=200",Attempts!$F$6:$F$70,"&lt;300")</x:f>
        <x:v>1</x:v>
      </x:c>
      <x:c r="E13" s="4" t="n">
        <x:f>COUNTIFS(Attempts!$A$6:$A$70,A13,Attempts!$D$6:$D$70,B13,Attempts!$E$6:$E$70,"HTTP_RESPONSE",Attempts!$F$6:$F$70,"&gt;=200",Attempts!$F$6:$F$70,"&lt;300",Attempts!$G$6:$G$70,"&gt;"&amp;C13)</x:f>
        <x:v>0</x:v>
      </x:c>
      <x:c r="F13" s="9" t="n">
        <x:f>IF(D13=0,"TODO",E13/D13)</x:f>
        <x:v>0</x:v>
      </x:c>
    </x:row>
    <x:row r="14" ht="25" customHeight="1">
      <x:c r="A14" s="4" t="str">
        <x:v>15b904a5-002f-4348-89d1-44f18868da03</x:v>
      </x:c>
      <x:c r="B14" s="4" t="str">
        <x:v>LIST</x:v>
      </x:c>
      <x:c r="C14" s="10" t="n">
        <x:v>30000</x:v>
      </x:c>
      <x:c r="D14" s="4" t="n">
        <x:f>COUNTIFS(Attempts!$A$6:$A$70,A14,Attempts!$D$6:$D$70,B14,Attempts!$E$6:$E$70,"HTTP_RESPONSE",Attempts!$F$6:$F$70,"&gt;=200",Attempts!$F$6:$F$70,"&lt;300")</x:f>
        <x:v>1</x:v>
      </x:c>
      <x:c r="E14" s="4" t="n">
        <x:f>COUNTIFS(Attempts!$A$6:$A$70,A14,Attempts!$D$6:$D$70,B14,Attempts!$E$6:$E$70,"HTTP_RESPONSE",Attempts!$F$6:$F$70,"&gt;=200",Attempts!$F$6:$F$70,"&lt;300",Attempts!$G$6:$G$70,"&gt;"&amp;C14)</x:f>
        <x:v>0</x:v>
      </x:c>
      <x:c r="F14" s="9" t="n">
        <x:f>IF(D14=0,"TODO",E14/D14)</x:f>
        <x:v>0</x:v>
      </x:c>
    </x:row>
    <x:row r="15" ht="25" customHeight="1">
      <x:c r="A15" s="4" t="str">
        <x:v>15b904a5-002f-4348-89d1-44f18868da03</x:v>
      </x:c>
      <x:c r="B15" s="4" t="str">
        <x:v>LIST</x:v>
      </x:c>
      <x:c r="C15" s="10" t="n">
        <x:v>60000</x:v>
      </x:c>
      <x:c r="D15" s="4" t="n">
        <x:f>COUNTIFS(Attempts!$A$6:$A$70,A15,Attempts!$D$6:$D$70,B15,Attempts!$E$6:$E$70,"HTTP_RESPONSE",Attempts!$F$6:$F$70,"&gt;=200",Attempts!$F$6:$F$70,"&lt;300")</x:f>
        <x:v>1</x:v>
      </x:c>
      <x:c r="E15" s="4" t="n">
        <x:f>COUNTIFS(Attempts!$A$6:$A$70,A15,Attempts!$D$6:$D$70,B15,Attempts!$E$6:$E$70,"HTTP_RESPONSE",Attempts!$F$6:$F$70,"&gt;=200",Attempts!$F$6:$F$70,"&lt;300",Attempts!$G$6:$G$70,"&gt;"&amp;C15)</x:f>
        <x:v>0</x:v>
      </x:c>
      <x:c r="F15" s="9" t="n">
        <x:f>IF(D15=0,"TODO",E15/D15)</x:f>
        <x:v>0</x:v>
      </x:c>
    </x:row>
    <x:row r="16" ht="25" customHeight="1">
      <x:c r="A16" s="4" t="str">
        <x:v>2a883cd0-c44a-4288-b496-8d4e71cf680f</x:v>
      </x:c>
      <x:c r="B16" s="4" t="str">
        <x:v>LIST</x:v>
      </x:c>
      <x:c r="C16" s="10" t="n">
        <x:v>10000</x:v>
      </x:c>
      <x:c r="D16" s="4" t="n">
        <x:f>COUNTIFS(Attempts!$A$6:$A$70,A16,Attempts!$D$6:$D$70,B16,Attempts!$E$6:$E$70,"HTTP_RESPONSE",Attempts!$F$6:$F$70,"&gt;=200",Attempts!$F$6:$F$70,"&lt;300")</x:f>
        <x:v>2</x:v>
      </x:c>
      <x:c r="E16" s="4" t="n">
        <x:f>COUNTIFS(Attempts!$A$6:$A$70,A16,Attempts!$D$6:$D$70,B16,Attempts!$E$6:$E$70,"HTTP_RESPONSE",Attempts!$F$6:$F$70,"&gt;=200",Attempts!$F$6:$F$70,"&lt;300",Attempts!$G$6:$G$70,"&gt;"&amp;C16)</x:f>
        <x:v>0</x:v>
      </x:c>
      <x:c r="F16" s="9" t="n">
        <x:f>IF(D16=0,"TODO",E16/D16)</x:f>
        <x:v>0</x:v>
      </x:c>
    </x:row>
    <x:row r="17" ht="25" customHeight="1">
      <x:c r="A17" s="4" t="str">
        <x:v>2a883cd0-c44a-4288-b496-8d4e71cf680f</x:v>
      </x:c>
      <x:c r="B17" s="4" t="str">
        <x:v>LIST</x:v>
      </x:c>
      <x:c r="C17" s="10" t="n">
        <x:v>30000</x:v>
      </x:c>
      <x:c r="D17" s="4" t="n">
        <x:f>COUNTIFS(Attempts!$A$6:$A$70,A17,Attempts!$D$6:$D$70,B17,Attempts!$E$6:$E$70,"HTTP_RESPONSE",Attempts!$F$6:$F$70,"&gt;=200",Attempts!$F$6:$F$70,"&lt;300")</x:f>
        <x:v>2</x:v>
      </x:c>
      <x:c r="E17" s="4" t="n">
        <x:f>COUNTIFS(Attempts!$A$6:$A$70,A17,Attempts!$D$6:$D$70,B17,Attempts!$E$6:$E$70,"HTTP_RESPONSE",Attempts!$F$6:$F$70,"&gt;=200",Attempts!$F$6:$F$70,"&lt;300",Attempts!$G$6:$G$70,"&gt;"&amp;C17)</x:f>
        <x:v>0</x:v>
      </x:c>
      <x:c r="F17" s="9" t="n">
        <x:f>IF(D17=0,"TODO",E17/D17)</x:f>
        <x:v>0</x:v>
      </x:c>
    </x:row>
    <x:row r="18" ht="25" customHeight="1">
      <x:c r="A18" s="4" t="str">
        <x:v>2a883cd0-c44a-4288-b496-8d4e71cf680f</x:v>
      </x:c>
      <x:c r="B18" s="4" t="str">
        <x:v>LIST</x:v>
      </x:c>
      <x:c r="C18" s="10" t="n">
        <x:v>60000</x:v>
      </x:c>
      <x:c r="D18" s="4" t="n">
        <x:f>COUNTIFS(Attempts!$A$6:$A$70,A18,Attempts!$D$6:$D$70,B18,Attempts!$E$6:$E$70,"HTTP_RESPONSE",Attempts!$F$6:$F$70,"&gt;=200",Attempts!$F$6:$F$70,"&lt;300")</x:f>
        <x:v>2</x:v>
      </x:c>
      <x:c r="E18" s="4" t="n">
        <x:f>COUNTIFS(Attempts!$A$6:$A$70,A18,Attempts!$D$6:$D$70,B18,Attempts!$E$6:$E$70,"HTTP_RESPONSE",Attempts!$F$6:$F$70,"&gt;=200",Attempts!$F$6:$F$70,"&lt;300",Attempts!$G$6:$G$70,"&gt;"&amp;C18)</x:f>
        <x:v>0</x:v>
      </x:c>
      <x:c r="F18" s="9" t="n">
        <x:f>IF(D18=0,"TODO",E18/D18)</x:f>
        <x:v>0</x:v>
      </x:c>
    </x:row>
    <x:row r="19" ht="25" customHeight="1">
      <x:c r="A19" s="4" t="str">
        <x:v>2e8b541c-3b23-4a80-865a-206dfcc601a9</x:v>
      </x:c>
      <x:c r="B19" s="4" t="str">
        <x:v>LIST</x:v>
      </x:c>
      <x:c r="C19" s="10" t="n">
        <x:v>10000</x:v>
      </x:c>
      <x:c r="D19" s="4" t="n">
        <x:f>COUNTIFS(Attempts!$A$6:$A$70,A19,Attempts!$D$6:$D$70,B19,Attempts!$E$6:$E$70,"HTTP_RESPONSE",Attempts!$F$6:$F$70,"&gt;=200",Attempts!$F$6:$F$70,"&lt;300")</x:f>
        <x:v>2</x:v>
      </x:c>
      <x:c r="E19" s="4" t="n">
        <x:f>COUNTIFS(Attempts!$A$6:$A$70,A19,Attempts!$D$6:$D$70,B19,Attempts!$E$6:$E$70,"HTTP_RESPONSE",Attempts!$F$6:$F$70,"&gt;=200",Attempts!$F$6:$F$70,"&lt;300",Attempts!$G$6:$G$70,"&gt;"&amp;C19)</x:f>
        <x:v>1</x:v>
      </x:c>
      <x:c r="F19" s="9" t="n">
        <x:f>IF(D19=0,"TODO",E19/D19)</x:f>
        <x:v>0.5</x:v>
      </x:c>
    </x:row>
    <x:row r="20" ht="25" customHeight="1">
      <x:c r="A20" s="4" t="str">
        <x:v>2e8b541c-3b23-4a80-865a-206dfcc601a9</x:v>
      </x:c>
      <x:c r="B20" s="4" t="str">
        <x:v>LIST</x:v>
      </x:c>
      <x:c r="C20" s="10" t="n">
        <x:v>30000</x:v>
      </x:c>
      <x:c r="D20" s="4" t="n">
        <x:f>COUNTIFS(Attempts!$A$6:$A$70,A20,Attempts!$D$6:$D$70,B20,Attempts!$E$6:$E$70,"HTTP_RESPONSE",Attempts!$F$6:$F$70,"&gt;=200",Attempts!$F$6:$F$70,"&lt;300")</x:f>
        <x:v>2</x:v>
      </x:c>
      <x:c r="E20" s="4" t="n">
        <x:f>COUNTIFS(Attempts!$A$6:$A$70,A20,Attempts!$D$6:$D$70,B20,Attempts!$E$6:$E$70,"HTTP_RESPONSE",Attempts!$F$6:$F$70,"&gt;=200",Attempts!$F$6:$F$70,"&lt;300",Attempts!$G$6:$G$70,"&gt;"&amp;C20)</x:f>
        <x:v>0</x:v>
      </x:c>
      <x:c r="F20" s="9" t="n">
        <x:f>IF(D20=0,"TODO",E20/D20)</x:f>
        <x:v>0</x:v>
      </x:c>
    </x:row>
    <x:row r="21" ht="25" customHeight="1">
      <x:c r="A21" s="4" t="str">
        <x:v>2e8b541c-3b23-4a80-865a-206dfcc601a9</x:v>
      </x:c>
      <x:c r="B21" s="4" t="str">
        <x:v>LIST</x:v>
      </x:c>
      <x:c r="C21" s="10" t="n">
        <x:v>60000</x:v>
      </x:c>
      <x:c r="D21" s="4" t="n">
        <x:f>COUNTIFS(Attempts!$A$6:$A$70,A21,Attempts!$D$6:$D$70,B21,Attempts!$E$6:$E$70,"HTTP_RESPONSE",Attempts!$F$6:$F$70,"&gt;=200",Attempts!$F$6:$F$70,"&lt;300")</x:f>
        <x:v>2</x:v>
      </x:c>
      <x:c r="E21" s="4" t="n">
        <x:f>COUNTIFS(Attempts!$A$6:$A$70,A21,Attempts!$D$6:$D$70,B21,Attempts!$E$6:$E$70,"HTTP_RESPONSE",Attempts!$F$6:$F$70,"&gt;=200",Attempts!$F$6:$F$70,"&lt;300",Attempts!$G$6:$G$70,"&gt;"&amp;C21)</x:f>
        <x:v>0</x:v>
      </x:c>
      <x:c r="F21" s="9" t="n">
        <x:f>IF(D21=0,"TODO",E21/D21)</x:f>
        <x:v>0</x:v>
      </x:c>
    </x:row>
    <x:row r="22" ht="25" customHeight="1">
      <x:c r="A22" s="4" t="str">
        <x:v>73897f1f-b17d-429b-8baa-cc679b273fe2</x:v>
      </x:c>
      <x:c r="B22" s="4" t="str">
        <x:v>CREATE</x:v>
      </x:c>
      <x:c r="C22" s="10" t="n">
        <x:v>10000</x:v>
      </x:c>
      <x:c r="D22" s="4" t="n">
        <x:f>COUNTIFS(Attempts!$A$6:$A$70,A22,Attempts!$D$6:$D$70,B22,Attempts!$E$6:$E$70,"HTTP_RESPONSE",Attempts!$F$6:$F$70,"&gt;=200",Attempts!$F$6:$F$70,"&lt;300")</x:f>
        <x:v>1</x:v>
      </x:c>
      <x:c r="E22" s="4" t="n">
        <x:f>COUNTIFS(Attempts!$A$6:$A$70,A22,Attempts!$D$6:$D$70,B22,Attempts!$E$6:$E$70,"HTTP_RESPONSE",Attempts!$F$6:$F$70,"&gt;=200",Attempts!$F$6:$F$70,"&lt;300",Attempts!$G$6:$G$70,"&gt;"&amp;C22)</x:f>
        <x:v>0</x:v>
      </x:c>
      <x:c r="F22" s="9" t="n">
        <x:f>IF(D22=0,"TODO",E22/D22)</x:f>
        <x:v>0</x:v>
      </x:c>
    </x:row>
    <x:row r="23" ht="25" customHeight="1">
      <x:c r="A23" s="4" t="str">
        <x:v>73897f1f-b17d-429b-8baa-cc679b273fe2</x:v>
      </x:c>
      <x:c r="B23" s="4" t="str">
        <x:v>CREATE</x:v>
      </x:c>
      <x:c r="C23" s="10" t="n">
        <x:v>30000</x:v>
      </x:c>
      <x:c r="D23" s="4" t="n">
        <x:f>COUNTIFS(Attempts!$A$6:$A$70,A23,Attempts!$D$6:$D$70,B23,Attempts!$E$6:$E$70,"HTTP_RESPONSE",Attempts!$F$6:$F$70,"&gt;=200",Attempts!$F$6:$F$70,"&lt;300")</x:f>
        <x:v>1</x:v>
      </x:c>
      <x:c r="E23" s="4" t="n">
        <x:f>COUNTIFS(Attempts!$A$6:$A$70,A23,Attempts!$D$6:$D$70,B23,Attempts!$E$6:$E$70,"HTTP_RESPONSE",Attempts!$F$6:$F$70,"&gt;=200",Attempts!$F$6:$F$70,"&lt;300",Attempts!$G$6:$G$70,"&gt;"&amp;C23)</x:f>
        <x:v>0</x:v>
      </x:c>
      <x:c r="F23" s="9" t="n">
        <x:f>IF(D23=0,"TODO",E23/D23)</x:f>
        <x:v>0</x:v>
      </x:c>
    </x:row>
    <x:row r="24" ht="25" customHeight="1">
      <x:c r="A24" s="4" t="str">
        <x:v>73897f1f-b17d-429b-8baa-cc679b273fe2</x:v>
      </x:c>
      <x:c r="B24" s="4" t="str">
        <x:v>CREATE</x:v>
      </x:c>
      <x:c r="C24" s="10" t="n">
        <x:v>60000</x:v>
      </x:c>
      <x:c r="D24" s="4" t="n">
        <x:f>COUNTIFS(Attempts!$A$6:$A$70,A24,Attempts!$D$6:$D$70,B24,Attempts!$E$6:$E$70,"HTTP_RESPONSE",Attempts!$F$6:$F$70,"&gt;=200",Attempts!$F$6:$F$70,"&lt;300")</x:f>
        <x:v>1</x:v>
      </x:c>
      <x:c r="E24" s="4" t="n">
        <x:f>COUNTIFS(Attempts!$A$6:$A$70,A24,Attempts!$D$6:$D$70,B24,Attempts!$E$6:$E$70,"HTTP_RESPONSE",Attempts!$F$6:$F$70,"&gt;=200",Attempts!$F$6:$F$70,"&lt;300",Attempts!$G$6:$G$70,"&gt;"&amp;C24)</x:f>
        <x:v>0</x:v>
      </x:c>
      <x:c r="F24" s="9" t="n">
        <x:f>IF(D24=0,"TODO",E24/D24)</x:f>
        <x:v>0</x:v>
      </x:c>
    </x:row>
    <x:row r="25" ht="25" customHeight="1">
      <x:c r="A25" s="4" t="str">
        <x:v>fa48a462-cfff-4b10-9259-5b1eb2d89365</x:v>
      </x:c>
      <x:c r="B25" s="4" t="str">
        <x:v>CREATE</x:v>
      </x:c>
      <x:c r="C25" s="10" t="n">
        <x:v>10000</x:v>
      </x:c>
      <x:c r="D25" s="4" t="n">
        <x:f>COUNTIFS(Attempts!$A$6:$A$70,A25,Attempts!$D$6:$D$70,B25,Attempts!$E$6:$E$70,"HTTP_RESPONSE",Attempts!$F$6:$F$70,"&gt;=200",Attempts!$F$6:$F$70,"&lt;300")</x:f>
        <x:v>1</x:v>
      </x:c>
      <x:c r="E25" s="4" t="n">
        <x:f>COUNTIFS(Attempts!$A$6:$A$70,A25,Attempts!$D$6:$D$70,B25,Attempts!$E$6:$E$70,"HTTP_RESPONSE",Attempts!$F$6:$F$70,"&gt;=200",Attempts!$F$6:$F$70,"&lt;300",Attempts!$G$6:$G$70,"&gt;"&amp;C25)</x:f>
        <x:v>0</x:v>
      </x:c>
      <x:c r="F25" s="9" t="n">
        <x:f>IF(D25=0,"TODO",E25/D25)</x:f>
        <x:v>0</x:v>
      </x:c>
    </x:row>
    <x:row r="26" ht="25" customHeight="1">
      <x:c r="A26" s="4" t="str">
        <x:v>fa48a462-cfff-4b10-9259-5b1eb2d89365</x:v>
      </x:c>
      <x:c r="B26" s="4" t="str">
        <x:v>CREATE</x:v>
      </x:c>
      <x:c r="C26" s="10" t="n">
        <x:v>30000</x:v>
      </x:c>
      <x:c r="D26" s="4" t="n">
        <x:f>COUNTIFS(Attempts!$A$6:$A$70,A26,Attempts!$D$6:$D$70,B26,Attempts!$E$6:$E$70,"HTTP_RESPONSE",Attempts!$F$6:$F$70,"&gt;=200",Attempts!$F$6:$F$70,"&lt;300")</x:f>
        <x:v>1</x:v>
      </x:c>
      <x:c r="E26" s="4" t="n">
        <x:f>COUNTIFS(Attempts!$A$6:$A$70,A26,Attempts!$D$6:$D$70,B26,Attempts!$E$6:$E$70,"HTTP_RESPONSE",Attempts!$F$6:$F$70,"&gt;=200",Attempts!$F$6:$F$70,"&lt;300",Attempts!$G$6:$G$70,"&gt;"&amp;C26)</x:f>
        <x:v>0</x:v>
      </x:c>
      <x:c r="F26" s="9" t="n">
        <x:f>IF(D26=0,"TODO",E26/D26)</x:f>
        <x:v>0</x:v>
      </x:c>
    </x:row>
    <x:row r="27" ht="25" customHeight="1">
      <x:c r="A27" s="4" t="str">
        <x:v>fa48a462-cfff-4b10-9259-5b1eb2d89365</x:v>
      </x:c>
      <x:c r="B27" s="4" t="str">
        <x:v>CREATE</x:v>
      </x:c>
      <x:c r="C27" s="10" t="n">
        <x:v>60000</x:v>
      </x:c>
      <x:c r="D27" s="4" t="n">
        <x:f>COUNTIFS(Attempts!$A$6:$A$70,A27,Attempts!$D$6:$D$70,B27,Attempts!$E$6:$E$70,"HTTP_RESPONSE",Attempts!$F$6:$F$70,"&gt;=200",Attempts!$F$6:$F$70,"&lt;300")</x:f>
        <x:v>1</x:v>
      </x:c>
      <x:c r="E27" s="4" t="n">
        <x:f>COUNTIFS(Attempts!$A$6:$A$70,A27,Attempts!$D$6:$D$70,B27,Attempts!$E$6:$E$70,"HTTP_RESPONSE",Attempts!$F$6:$F$70,"&gt;=200",Attempts!$F$6:$F$70,"&lt;300",Attempts!$G$6:$G$70,"&gt;"&amp;C27)</x:f>
        <x:v>0</x:v>
      </x:c>
      <x:c r="F27" s="9" t="n">
        <x:f>IF(D27=0,"TODO",E27/D27)</x:f>
        <x:v>0</x:v>
      </x:c>
    </x:row>
    <x:row r="28" ht="25" customHeight="1">
      <x:c r="A28" s="4" t="str">
        <x:v>fa48a462-cfff-4b10-9259-5b1eb2d89365</x:v>
      </x:c>
      <x:c r="B28" s="4" t="str">
        <x:v>DETAIL</x:v>
      </x:c>
      <x:c r="C28" s="10" t="n">
        <x:v>10000</x:v>
      </x:c>
      <x:c r="D28" s="4" t="n">
        <x:f>COUNTIFS(Attempts!$A$6:$A$70,A28,Attempts!$D$6:$D$70,B28,Attempts!$E$6:$E$70,"HTTP_RESPONSE",Attempts!$F$6:$F$70,"&gt;=200",Attempts!$F$6:$F$70,"&lt;300")</x:f>
        <x:v>2</x:v>
      </x:c>
      <x:c r="E28" s="4" t="n">
        <x:f>COUNTIFS(Attempts!$A$6:$A$70,A28,Attempts!$D$6:$D$70,B28,Attempts!$E$6:$E$70,"HTTP_RESPONSE",Attempts!$F$6:$F$70,"&gt;=200",Attempts!$F$6:$F$70,"&lt;300",Attempts!$G$6:$G$70,"&gt;"&amp;C28)</x:f>
        <x:v>0</x:v>
      </x:c>
      <x:c r="F28" s="9" t="n">
        <x:f>IF(D28=0,"TODO",E28/D28)</x:f>
        <x:v>0</x:v>
      </x:c>
    </x:row>
    <x:row r="29" ht="25" customHeight="1">
      <x:c r="A29" s="4" t="str">
        <x:v>fa48a462-cfff-4b10-9259-5b1eb2d89365</x:v>
      </x:c>
      <x:c r="B29" s="4" t="str">
        <x:v>DETAIL</x:v>
      </x:c>
      <x:c r="C29" s="10" t="n">
        <x:v>30000</x:v>
      </x:c>
      <x:c r="D29" s="4" t="n">
        <x:f>COUNTIFS(Attempts!$A$6:$A$70,A29,Attempts!$D$6:$D$70,B29,Attempts!$E$6:$E$70,"HTTP_RESPONSE",Attempts!$F$6:$F$70,"&gt;=200",Attempts!$F$6:$F$70,"&lt;300")</x:f>
        <x:v>2</x:v>
      </x:c>
      <x:c r="E29" s="4" t="n">
        <x:f>COUNTIFS(Attempts!$A$6:$A$70,A29,Attempts!$D$6:$D$70,B29,Attempts!$E$6:$E$70,"HTTP_RESPONSE",Attempts!$F$6:$F$70,"&gt;=200",Attempts!$F$6:$F$70,"&lt;300",Attempts!$G$6:$G$70,"&gt;"&amp;C29)</x:f>
        <x:v>0</x:v>
      </x:c>
      <x:c r="F29" s="9" t="n">
        <x:f>IF(D29=0,"TODO",E29/D29)</x:f>
        <x:v>0</x:v>
      </x:c>
    </x:row>
    <x:row r="30" ht="25" customHeight="1">
      <x:c r="A30" s="4" t="str">
        <x:v>fa48a462-cfff-4b10-9259-5b1eb2d89365</x:v>
      </x:c>
      <x:c r="B30" s="4" t="str">
        <x:v>DETAIL</x:v>
      </x:c>
      <x:c r="C30" s="10" t="n">
        <x:v>60000</x:v>
      </x:c>
      <x:c r="D30" s="4" t="n">
        <x:f>COUNTIFS(Attempts!$A$6:$A$70,A30,Attempts!$D$6:$D$70,B30,Attempts!$E$6:$E$70,"HTTP_RESPONSE",Attempts!$F$6:$F$70,"&gt;=200",Attempts!$F$6:$F$70,"&lt;300")</x:f>
        <x:v>2</x:v>
      </x:c>
      <x:c r="E30" s="4" t="n">
        <x:f>COUNTIFS(Attempts!$A$6:$A$70,A30,Attempts!$D$6:$D$70,B30,Attempts!$E$6:$E$70,"HTTP_RESPONSE",Attempts!$F$6:$F$70,"&gt;=200",Attempts!$F$6:$F$70,"&lt;300",Attempts!$G$6:$G$70,"&gt;"&amp;C30)</x:f>
        <x:v>0</x:v>
      </x:c>
      <x:c r="F30" s="9" t="n">
        <x:f>IF(D30=0,"TODO",E30/D30)</x:f>
        <x:v>0</x:v>
      </x:c>
    </x:row>
    <x:row r="31" ht="25" customHeight="1">
      <x:c r="A31" s="4" t="str">
        <x:v>6389a638-6cb5-42c5-9cd0-4170c34ed323</x:v>
      </x:c>
      <x:c r="B31" s="4" t="str">
        <x:v>LIST</x:v>
      </x:c>
      <x:c r="C31" s="10" t="n">
        <x:v>10000</x:v>
      </x:c>
      <x:c r="D31" s="4" t="n">
        <x:f>COUNTIFS(Attempts!$A$6:$A$70,A31,Attempts!$D$6:$D$70,B31,Attempts!$E$6:$E$70,"HTTP_RESPONSE",Attempts!$F$6:$F$70,"&gt;=200",Attempts!$F$6:$F$70,"&lt;300")</x:f>
        <x:v>2</x:v>
      </x:c>
      <x:c r="E31" s="4" t="n">
        <x:f>COUNTIFS(Attempts!$A$6:$A$70,A31,Attempts!$D$6:$D$70,B31,Attempts!$E$6:$E$70,"HTTP_RESPONSE",Attempts!$F$6:$F$70,"&gt;=200",Attempts!$F$6:$F$70,"&lt;300",Attempts!$G$6:$G$70,"&gt;"&amp;C31)</x:f>
        <x:v>1</x:v>
      </x:c>
      <x:c r="F31" s="9" t="n">
        <x:f>IF(D31=0,"TODO",E31/D31)</x:f>
        <x:v>0.5</x:v>
      </x:c>
    </x:row>
    <x:row r="32" ht="25" customHeight="1">
      <x:c r="A32" s="4" t="str">
        <x:v>6389a638-6cb5-42c5-9cd0-4170c34ed323</x:v>
      </x:c>
      <x:c r="B32" s="4" t="str">
        <x:v>LIST</x:v>
      </x:c>
      <x:c r="C32" s="10" t="n">
        <x:v>30000</x:v>
      </x:c>
      <x:c r="D32" s="4" t="n">
        <x:f>COUNTIFS(Attempts!$A$6:$A$70,A32,Attempts!$D$6:$D$70,B32,Attempts!$E$6:$E$70,"HTTP_RESPONSE",Attempts!$F$6:$F$70,"&gt;=200",Attempts!$F$6:$F$70,"&lt;300")</x:f>
        <x:v>2</x:v>
      </x:c>
      <x:c r="E32" s="4" t="n">
        <x:f>COUNTIFS(Attempts!$A$6:$A$70,A32,Attempts!$D$6:$D$70,B32,Attempts!$E$6:$E$70,"HTTP_RESPONSE",Attempts!$F$6:$F$70,"&gt;=200",Attempts!$F$6:$F$70,"&lt;300",Attempts!$G$6:$G$70,"&gt;"&amp;C32)</x:f>
        <x:v>0</x:v>
      </x:c>
      <x:c r="F32" s="9" t="n">
        <x:f>IF(D32=0,"TODO",E32/D32)</x:f>
        <x:v>0</x:v>
      </x:c>
    </x:row>
    <x:row r="33" ht="25" customHeight="1">
      <x:c r="A33" s="4" t="str">
        <x:v>6389a638-6cb5-42c5-9cd0-4170c34ed323</x:v>
      </x:c>
      <x:c r="B33" s="4" t="str">
        <x:v>LIST</x:v>
      </x:c>
      <x:c r="C33" s="10" t="n">
        <x:v>60000</x:v>
      </x:c>
      <x:c r="D33" s="4" t="n">
        <x:f>COUNTIFS(Attempts!$A$6:$A$70,A33,Attempts!$D$6:$D$70,B33,Attempts!$E$6:$E$70,"HTTP_RESPONSE",Attempts!$F$6:$F$70,"&gt;=200",Attempts!$F$6:$F$70,"&lt;300")</x:f>
        <x:v>2</x:v>
      </x:c>
      <x:c r="E33" s="4" t="n">
        <x:f>COUNTIFS(Attempts!$A$6:$A$70,A33,Attempts!$D$6:$D$70,B33,Attempts!$E$6:$E$70,"HTTP_RESPONSE",Attempts!$F$6:$F$70,"&gt;=200",Attempts!$F$6:$F$70,"&lt;300",Attempts!$G$6:$G$70,"&gt;"&amp;C33)</x:f>
        <x:v>0</x:v>
      </x:c>
      <x:c r="F33" s="9" t="n">
        <x:f>IF(D33=0,"TODO",E33/D33)</x:f>
        <x:v>0</x:v>
      </x:c>
    </x:row>
    <x:row r="34" ht="25" customHeight="1">
      <x:c r="A34" s="4" t="str">
        <x:v>6389a638-6cb5-42c5-9cd0-4170c34ed323</x:v>
      </x:c>
      <x:c r="B34" s="4" t="str">
        <x:v>CREATE</x:v>
      </x:c>
      <x:c r="C34" s="10" t="n">
        <x:v>10000</x:v>
      </x:c>
      <x:c r="D34" s="4" t="n">
        <x:f>COUNTIFS(Attempts!$A$6:$A$70,A34,Attempts!$D$6:$D$70,B34,Attempts!$E$6:$E$70,"HTTP_RESPONSE",Attempts!$F$6:$F$70,"&gt;=200",Attempts!$F$6:$F$70,"&lt;300")</x:f>
        <x:v>2</x:v>
      </x:c>
      <x:c r="E34" s="4" t="n">
        <x:f>COUNTIFS(Attempts!$A$6:$A$70,A34,Attempts!$D$6:$D$70,B34,Attempts!$E$6:$E$70,"HTTP_RESPONSE",Attempts!$F$6:$F$70,"&gt;=200",Attempts!$F$6:$F$70,"&lt;300",Attempts!$G$6:$G$70,"&gt;"&amp;C34)</x:f>
        <x:v>0</x:v>
      </x:c>
      <x:c r="F34" s="9" t="n">
        <x:f>IF(D34=0,"TODO",E34/D34)</x:f>
        <x:v>0</x:v>
      </x:c>
    </x:row>
    <x:row r="35" ht="25" customHeight="1">
      <x:c r="A35" s="4" t="str">
        <x:v>6389a638-6cb5-42c5-9cd0-4170c34ed323</x:v>
      </x:c>
      <x:c r="B35" s="4" t="str">
        <x:v>CREATE</x:v>
      </x:c>
      <x:c r="C35" s="10" t="n">
        <x:v>30000</x:v>
      </x:c>
      <x:c r="D35" s="4" t="n">
        <x:f>COUNTIFS(Attempts!$A$6:$A$70,A35,Attempts!$D$6:$D$70,B35,Attempts!$E$6:$E$70,"HTTP_RESPONSE",Attempts!$F$6:$F$70,"&gt;=200",Attempts!$F$6:$F$70,"&lt;300")</x:f>
        <x:v>2</x:v>
      </x:c>
      <x:c r="E35" s="4" t="n">
        <x:f>COUNTIFS(Attempts!$A$6:$A$70,A35,Attempts!$D$6:$D$70,B35,Attempts!$E$6:$E$70,"HTTP_RESPONSE",Attempts!$F$6:$F$70,"&gt;=200",Attempts!$F$6:$F$70,"&lt;300",Attempts!$G$6:$G$70,"&gt;"&amp;C35)</x:f>
        <x:v>0</x:v>
      </x:c>
      <x:c r="F35" s="9" t="n">
        <x:f>IF(D35=0,"TODO",E35/D35)</x:f>
        <x:v>0</x:v>
      </x:c>
    </x:row>
    <x:row r="36" ht="25" customHeight="1">
      <x:c r="A36" s="4" t="str">
        <x:v>6389a638-6cb5-42c5-9cd0-4170c34ed323</x:v>
      </x:c>
      <x:c r="B36" s="4" t="str">
        <x:v>CREATE</x:v>
      </x:c>
      <x:c r="C36" s="10" t="n">
        <x:v>60000</x:v>
      </x:c>
      <x:c r="D36" s="4" t="n">
        <x:f>COUNTIFS(Attempts!$A$6:$A$70,A36,Attempts!$D$6:$D$70,B36,Attempts!$E$6:$E$70,"HTTP_RESPONSE",Attempts!$F$6:$F$70,"&gt;=200",Attempts!$F$6:$F$70,"&lt;300")</x:f>
        <x:v>2</x:v>
      </x:c>
      <x:c r="E36" s="4" t="n">
        <x:f>COUNTIFS(Attempts!$A$6:$A$70,A36,Attempts!$D$6:$D$70,B36,Attempts!$E$6:$E$70,"HTTP_RESPONSE",Attempts!$F$6:$F$70,"&gt;=200",Attempts!$F$6:$F$70,"&lt;300",Attempts!$G$6:$G$70,"&gt;"&amp;C36)</x:f>
        <x:v>0</x:v>
      </x:c>
      <x:c r="F36" s="9" t="n">
        <x:f>IF(D36=0,"TODO",E36/D36)</x:f>
        <x:v>0</x:v>
      </x:c>
    </x:row>
    <x:row r="37" ht="25" customHeight="1">
      <x:c r="A37" s="4" t="str">
        <x:v>da9e2620-c41a-4997-a4eb-9403b35dd6df</x:v>
      </x:c>
      <x:c r="B37" s="4" t="str">
        <x:v>LIST</x:v>
      </x:c>
      <x:c r="C37" s="10" t="n">
        <x:v>10000</x:v>
      </x:c>
      <x:c r="D37" s="4" t="n">
        <x:f>COUNTIFS(Attempts!$A$6:$A$70,A37,Attempts!$D$6:$D$70,B37,Attempts!$E$6:$E$70,"HTTP_RESPONSE",Attempts!$F$6:$F$70,"&gt;=200",Attempts!$F$6:$F$70,"&lt;300")</x:f>
        <x:v>1</x:v>
      </x:c>
      <x:c r="E37" s="4" t="n">
        <x:f>COUNTIFS(Attempts!$A$6:$A$70,A37,Attempts!$D$6:$D$70,B37,Attempts!$E$6:$E$70,"HTTP_RESPONSE",Attempts!$F$6:$F$70,"&gt;=200",Attempts!$F$6:$F$70,"&lt;300",Attempts!$G$6:$G$70,"&gt;"&amp;C37)</x:f>
        <x:v>0</x:v>
      </x:c>
      <x:c r="F37" s="9" t="n">
        <x:f>IF(D37=0,"TODO",E37/D37)</x:f>
        <x:v>0</x:v>
      </x:c>
    </x:row>
    <x:row r="38" ht="25" customHeight="1">
      <x:c r="A38" s="4" t="str">
        <x:v>da9e2620-c41a-4997-a4eb-9403b35dd6df</x:v>
      </x:c>
      <x:c r="B38" s="4" t="str">
        <x:v>LIST</x:v>
      </x:c>
      <x:c r="C38" s="10" t="n">
        <x:v>30000</x:v>
      </x:c>
      <x:c r="D38" s="4" t="n">
        <x:f>COUNTIFS(Attempts!$A$6:$A$70,A38,Attempts!$D$6:$D$70,B38,Attempts!$E$6:$E$70,"HTTP_RESPONSE",Attempts!$F$6:$F$70,"&gt;=200",Attempts!$F$6:$F$70,"&lt;300")</x:f>
        <x:v>1</x:v>
      </x:c>
      <x:c r="E38" s="4" t="n">
        <x:f>COUNTIFS(Attempts!$A$6:$A$70,A38,Attempts!$D$6:$D$70,B38,Attempts!$E$6:$E$70,"HTTP_RESPONSE",Attempts!$F$6:$F$70,"&gt;=200",Attempts!$F$6:$F$70,"&lt;300",Attempts!$G$6:$G$70,"&gt;"&amp;C38)</x:f>
        <x:v>0</x:v>
      </x:c>
      <x:c r="F38" s="9" t="n">
        <x:f>IF(D38=0,"TODO",E38/D38)</x:f>
        <x:v>0</x:v>
      </x:c>
    </x:row>
    <x:row r="39" ht="25" customHeight="1">
      <x:c r="A39" s="4" t="str">
        <x:v>da9e2620-c41a-4997-a4eb-9403b35dd6df</x:v>
      </x:c>
      <x:c r="B39" s="4" t="str">
        <x:v>LIST</x:v>
      </x:c>
      <x:c r="C39" s="10" t="n">
        <x:v>60000</x:v>
      </x:c>
      <x:c r="D39" s="4" t="n">
        <x:f>COUNTIFS(Attempts!$A$6:$A$70,A39,Attempts!$D$6:$D$70,B39,Attempts!$E$6:$E$70,"HTTP_RESPONSE",Attempts!$F$6:$F$70,"&gt;=200",Attempts!$F$6:$F$70,"&lt;300")</x:f>
        <x:v>1</x:v>
      </x:c>
      <x:c r="E39" s="4" t="n">
        <x:f>COUNTIFS(Attempts!$A$6:$A$70,A39,Attempts!$D$6:$D$70,B39,Attempts!$E$6:$E$70,"HTTP_RESPONSE",Attempts!$F$6:$F$70,"&gt;=200",Attempts!$F$6:$F$70,"&lt;300",Attempts!$G$6:$G$70,"&gt;"&amp;C39)</x:f>
        <x:v>0</x:v>
      </x:c>
      <x:c r="F39" s="9" t="n">
        <x:f>IF(D39=0,"TODO",E39/D39)</x:f>
        <x:v>0</x:v>
      </x:c>
    </x:row>
    <x:row r="40" ht="25" customHeight="1">
      <x:c r="A40" s="4" t="str">
        <x:v>da9e2620-c41a-4997-a4eb-9403b35dd6df</x:v>
      </x:c>
      <x:c r="B40" s="4" t="str">
        <x:v>CREATE</x:v>
      </x:c>
      <x:c r="C40" s="10" t="n">
        <x:v>10000</x:v>
      </x:c>
      <x:c r="D40" s="4" t="n">
        <x:f>COUNTIFS(Attempts!$A$6:$A$70,A40,Attempts!$D$6:$D$70,B40,Attempts!$E$6:$E$70,"HTTP_RESPONSE",Attempts!$F$6:$F$70,"&gt;=200",Attempts!$F$6:$F$70,"&lt;300")</x:f>
        <x:v>2</x:v>
      </x:c>
      <x:c r="E40" s="4" t="n">
        <x:f>COUNTIFS(Attempts!$A$6:$A$70,A40,Attempts!$D$6:$D$70,B40,Attempts!$E$6:$E$70,"HTTP_RESPONSE",Attempts!$F$6:$F$70,"&gt;=200",Attempts!$F$6:$F$70,"&lt;300",Attempts!$G$6:$G$70,"&gt;"&amp;C40)</x:f>
        <x:v>0</x:v>
      </x:c>
      <x:c r="F40" s="9" t="n">
        <x:f>IF(D40=0,"TODO",E40/D40)</x:f>
        <x:v>0</x:v>
      </x:c>
    </x:row>
    <x:row r="41" ht="25" customHeight="1">
      <x:c r="A41" s="4" t="str">
        <x:v>da9e2620-c41a-4997-a4eb-9403b35dd6df</x:v>
      </x:c>
      <x:c r="B41" s="4" t="str">
        <x:v>CREATE</x:v>
      </x:c>
      <x:c r="C41" s="10" t="n">
        <x:v>30000</x:v>
      </x:c>
      <x:c r="D41" s="4" t="n">
        <x:f>COUNTIFS(Attempts!$A$6:$A$70,A41,Attempts!$D$6:$D$70,B41,Attempts!$E$6:$E$70,"HTTP_RESPONSE",Attempts!$F$6:$F$70,"&gt;=200",Attempts!$F$6:$F$70,"&lt;300")</x:f>
        <x:v>2</x:v>
      </x:c>
      <x:c r="E41" s="4" t="n">
        <x:f>COUNTIFS(Attempts!$A$6:$A$70,A41,Attempts!$D$6:$D$70,B41,Attempts!$E$6:$E$70,"HTTP_RESPONSE",Attempts!$F$6:$F$70,"&gt;=200",Attempts!$F$6:$F$70,"&lt;300",Attempts!$G$6:$G$70,"&gt;"&amp;C41)</x:f>
        <x:v>0</x:v>
      </x:c>
      <x:c r="F41" s="9" t="n">
        <x:f>IF(D41=0,"TODO",E41/D41)</x:f>
        <x:v>0</x:v>
      </x:c>
    </x:row>
    <x:row r="42" ht="25" customHeight="1">
      <x:c r="A42" s="4" t="str">
        <x:v>da9e2620-c41a-4997-a4eb-9403b35dd6df</x:v>
      </x:c>
      <x:c r="B42" s="4" t="str">
        <x:v>CREATE</x:v>
      </x:c>
      <x:c r="C42" s="10" t="n">
        <x:v>60000</x:v>
      </x:c>
      <x:c r="D42" s="4" t="n">
        <x:f>COUNTIFS(Attempts!$A$6:$A$70,A42,Attempts!$D$6:$D$70,B42,Attempts!$E$6:$E$70,"HTTP_RESPONSE",Attempts!$F$6:$F$70,"&gt;=200",Attempts!$F$6:$F$70,"&lt;300")</x:f>
        <x:v>2</x:v>
      </x:c>
      <x:c r="E42" s="4" t="n">
        <x:f>COUNTIFS(Attempts!$A$6:$A$70,A42,Attempts!$D$6:$D$70,B42,Attempts!$E$6:$E$70,"HTTP_RESPONSE",Attempts!$F$6:$F$70,"&gt;=200",Attempts!$F$6:$F$70,"&lt;300",Attempts!$G$6:$G$70,"&gt;"&amp;C42)</x:f>
        <x:v>0</x:v>
      </x:c>
      <x:c r="F42" s="9" t="n">
        <x:f>IF(D42=0,"TODO",E42/D42)</x:f>
        <x:v>0</x:v>
      </x:c>
    </x:row>
    <x:row r="43" ht="25" customHeight="1">
      <x:c r="A43" s="4" t="str">
        <x:v>b3d7fb89-4ca3-4e80-a639-d0b42015a8bb</x:v>
      </x:c>
      <x:c r="B43" s="4" t="str">
        <x:v>LIST</x:v>
      </x:c>
      <x:c r="C43" s="10" t="n">
        <x:v>10000</x:v>
      </x:c>
      <x:c r="D43" s="4" t="n">
        <x:f>COUNTIFS(Attempts!$A$6:$A$70,A43,Attempts!$D$6:$D$70,B43,Attempts!$E$6:$E$70,"HTTP_RESPONSE",Attempts!$F$6:$F$70,"&gt;=200",Attempts!$F$6:$F$70,"&lt;300")</x:f>
        <x:v>1</x:v>
      </x:c>
      <x:c r="E43" s="4" t="n">
        <x:f>COUNTIFS(Attempts!$A$6:$A$70,A43,Attempts!$D$6:$D$70,B43,Attempts!$E$6:$E$70,"HTTP_RESPONSE",Attempts!$F$6:$F$70,"&gt;=200",Attempts!$F$6:$F$70,"&lt;300",Attempts!$G$6:$G$70,"&gt;"&amp;C43)</x:f>
        <x:v>0</x:v>
      </x:c>
      <x:c r="F43" s="9" t="n">
        <x:f>IF(D43=0,"TODO",E43/D43)</x:f>
        <x:v>0</x:v>
      </x:c>
    </x:row>
    <x:row r="44" ht="25" customHeight="1">
      <x:c r="A44" s="4" t="str">
        <x:v>b3d7fb89-4ca3-4e80-a639-d0b42015a8bb</x:v>
      </x:c>
      <x:c r="B44" s="4" t="str">
        <x:v>LIST</x:v>
      </x:c>
      <x:c r="C44" s="10" t="n">
        <x:v>30000</x:v>
      </x:c>
      <x:c r="D44" s="4" t="n">
        <x:f>COUNTIFS(Attempts!$A$6:$A$70,A44,Attempts!$D$6:$D$70,B44,Attempts!$E$6:$E$70,"HTTP_RESPONSE",Attempts!$F$6:$F$70,"&gt;=200",Attempts!$F$6:$F$70,"&lt;300")</x:f>
        <x:v>1</x:v>
      </x:c>
      <x:c r="E44" s="4" t="n">
        <x:f>COUNTIFS(Attempts!$A$6:$A$70,A44,Attempts!$D$6:$D$70,B44,Attempts!$E$6:$E$70,"HTTP_RESPONSE",Attempts!$F$6:$F$70,"&gt;=200",Attempts!$F$6:$F$70,"&lt;300",Attempts!$G$6:$G$70,"&gt;"&amp;C44)</x:f>
        <x:v>0</x:v>
      </x:c>
      <x:c r="F44" s="9" t="n">
        <x:f>IF(D44=0,"TODO",E44/D44)</x:f>
        <x:v>0</x:v>
      </x:c>
    </x:row>
    <x:row r="45" ht="25" customHeight="1">
      <x:c r="A45" s="4" t="str">
        <x:v>b3d7fb89-4ca3-4e80-a639-d0b42015a8bb</x:v>
      </x:c>
      <x:c r="B45" s="4" t="str">
        <x:v>LIST</x:v>
      </x:c>
      <x:c r="C45" s="10" t="n">
        <x:v>60000</x:v>
      </x:c>
      <x:c r="D45" s="4" t="n">
        <x:f>COUNTIFS(Attempts!$A$6:$A$70,A45,Attempts!$D$6:$D$70,B45,Attempts!$E$6:$E$70,"HTTP_RESPONSE",Attempts!$F$6:$F$70,"&gt;=200",Attempts!$F$6:$F$70,"&lt;300")</x:f>
        <x:v>1</x:v>
      </x:c>
      <x:c r="E45" s="4" t="n">
        <x:f>COUNTIFS(Attempts!$A$6:$A$70,A45,Attempts!$D$6:$D$70,B45,Attempts!$E$6:$E$70,"HTTP_RESPONSE",Attempts!$F$6:$F$70,"&gt;=200",Attempts!$F$6:$F$70,"&lt;300",Attempts!$G$6:$G$70,"&gt;"&amp;C45)</x:f>
        <x:v>0</x:v>
      </x:c>
      <x:c r="F45" s="9" t="n">
        <x:f>IF(D45=0,"TODO",E45/D45)</x:f>
        <x:v>0</x:v>
      </x:c>
    </x:row>
    <x:row r="46" ht="25" customHeight="1">
      <x:c r="A46" s="4" t="str">
        <x:v>9a1de23e-044b-49f9-aba4-6dc2e60323b9</x:v>
      </x:c>
      <x:c r="B46" s="4" t="str">
        <x:v>LIST</x:v>
      </x:c>
      <x:c r="C46" s="10" t="n">
        <x:v>10000</x:v>
      </x:c>
      <x:c r="D46" s="4" t="n">
        <x:f>COUNTIFS(Attempts!$A$6:$A$70,A46,Attempts!$D$6:$D$70,B46,Attempts!$E$6:$E$70,"HTTP_RESPONSE",Attempts!$F$6:$F$70,"&gt;=200",Attempts!$F$6:$F$70,"&lt;300")</x:f>
        <x:v>1</x:v>
      </x:c>
      <x:c r="E46" s="4" t="n">
        <x:f>COUNTIFS(Attempts!$A$6:$A$70,A46,Attempts!$D$6:$D$70,B46,Attempts!$E$6:$E$70,"HTTP_RESPONSE",Attempts!$F$6:$F$70,"&gt;=200",Attempts!$F$6:$F$70,"&lt;300",Attempts!$G$6:$G$70,"&gt;"&amp;C46)</x:f>
        <x:v>1</x:v>
      </x:c>
      <x:c r="F46" s="9" t="n">
        <x:f>IF(D46=0,"TODO",E46/D46)</x:f>
        <x:v>1</x:v>
      </x:c>
    </x:row>
    <x:row r="47" ht="25" customHeight="1">
      <x:c r="A47" s="4" t="str">
        <x:v>9a1de23e-044b-49f9-aba4-6dc2e60323b9</x:v>
      </x:c>
      <x:c r="B47" s="4" t="str">
        <x:v>LIST</x:v>
      </x:c>
      <x:c r="C47" s="10" t="n">
        <x:v>30000</x:v>
      </x:c>
      <x:c r="D47" s="4" t="n">
        <x:f>COUNTIFS(Attempts!$A$6:$A$70,A47,Attempts!$D$6:$D$70,B47,Attempts!$E$6:$E$70,"HTTP_RESPONSE",Attempts!$F$6:$F$70,"&gt;=200",Attempts!$F$6:$F$70,"&lt;300")</x:f>
        <x:v>1</x:v>
      </x:c>
      <x:c r="E47" s="4" t="n">
        <x:f>COUNTIFS(Attempts!$A$6:$A$70,A47,Attempts!$D$6:$D$70,B47,Attempts!$E$6:$E$70,"HTTP_RESPONSE",Attempts!$F$6:$F$70,"&gt;=200",Attempts!$F$6:$F$70,"&lt;300",Attempts!$G$6:$G$70,"&gt;"&amp;C47)</x:f>
        <x:v>0</x:v>
      </x:c>
      <x:c r="F47" s="9" t="n">
        <x:f>IF(D47=0,"TODO",E47/D47)</x:f>
        <x:v>0</x:v>
      </x:c>
    </x:row>
    <x:row r="48" ht="25" customHeight="1">
      <x:c r="A48" s="4" t="str">
        <x:v>9a1de23e-044b-49f9-aba4-6dc2e60323b9</x:v>
      </x:c>
      <x:c r="B48" s="4" t="str">
        <x:v>LIST</x:v>
      </x:c>
      <x:c r="C48" s="10" t="n">
        <x:v>60000</x:v>
      </x:c>
      <x:c r="D48" s="4" t="n">
        <x:f>COUNTIFS(Attempts!$A$6:$A$70,A48,Attempts!$D$6:$D$70,B48,Attempts!$E$6:$E$70,"HTTP_RESPONSE",Attempts!$F$6:$F$70,"&gt;=200",Attempts!$F$6:$F$70,"&lt;300")</x:f>
        <x:v>1</x:v>
      </x:c>
      <x:c r="E48" s="4" t="n">
        <x:f>COUNTIFS(Attempts!$A$6:$A$70,A48,Attempts!$D$6:$D$70,B48,Attempts!$E$6:$E$70,"HTTP_RESPONSE",Attempts!$F$6:$F$70,"&gt;=200",Attempts!$F$6:$F$70,"&lt;300",Attempts!$G$6:$G$70,"&gt;"&amp;C48)</x:f>
        <x:v>0</x:v>
      </x:c>
      <x:c r="F48" s="9" t="n">
        <x:f>IF(D48=0,"TODO",E48/D48)</x:f>
        <x:v>0</x:v>
      </x:c>
    </x:row>
    <x:row r="49" ht="25" customHeight="1">
      <x:c r="A49" s="4" t="str">
        <x:v>fa596d81-c243-483c-bf12-8df0a40f2ea1</x:v>
      </x:c>
      <x:c r="B49" s="4" t="str">
        <x:v>LIST</x:v>
      </x:c>
      <x:c r="C49" s="10" t="n">
        <x:v>10000</x:v>
      </x:c>
      <x:c r="D49" s="4" t="n">
        <x:f>COUNTIFS(Attempts!$A$6:$A$70,A49,Attempts!$D$6:$D$70,B49,Attempts!$E$6:$E$70,"HTTP_RESPONSE",Attempts!$F$6:$F$70,"&gt;=200",Attempts!$F$6:$F$70,"&lt;300")</x:f>
        <x:v>1</x:v>
      </x:c>
      <x:c r="E49" s="4" t="n">
        <x:f>COUNTIFS(Attempts!$A$6:$A$70,A49,Attempts!$D$6:$D$70,B49,Attempts!$E$6:$E$70,"HTTP_RESPONSE",Attempts!$F$6:$F$70,"&gt;=200",Attempts!$F$6:$F$70,"&lt;300",Attempts!$G$6:$G$70,"&gt;"&amp;C49)</x:f>
        <x:v>1</x:v>
      </x:c>
      <x:c r="F49" s="9" t="n">
        <x:f>IF(D49=0,"TODO",E49/D49)</x:f>
        <x:v>1</x:v>
      </x:c>
    </x:row>
    <x:row r="50" ht="25" customHeight="1">
      <x:c r="A50" s="4" t="str">
        <x:v>fa596d81-c243-483c-bf12-8df0a40f2ea1</x:v>
      </x:c>
      <x:c r="B50" s="4" t="str">
        <x:v>LIST</x:v>
      </x:c>
      <x:c r="C50" s="10" t="n">
        <x:v>30000</x:v>
      </x:c>
      <x:c r="D50" s="4" t="n">
        <x:f>COUNTIFS(Attempts!$A$6:$A$70,A50,Attempts!$D$6:$D$70,B50,Attempts!$E$6:$E$70,"HTTP_RESPONSE",Attempts!$F$6:$F$70,"&gt;=200",Attempts!$F$6:$F$70,"&lt;300")</x:f>
        <x:v>1</x:v>
      </x:c>
      <x:c r="E50" s="4" t="n">
        <x:f>COUNTIFS(Attempts!$A$6:$A$70,A50,Attempts!$D$6:$D$70,B50,Attempts!$E$6:$E$70,"HTTP_RESPONSE",Attempts!$F$6:$F$70,"&gt;=200",Attempts!$F$6:$F$70,"&lt;300",Attempts!$G$6:$G$70,"&gt;"&amp;C50)</x:f>
        <x:v>0</x:v>
      </x:c>
      <x:c r="F50" s="9" t="n">
        <x:f>IF(D50=0,"TODO",E50/D50)</x:f>
        <x:v>0</x:v>
      </x:c>
    </x:row>
    <x:row r="51" ht="25" customHeight="1">
      <x:c r="A51" s="4" t="str">
        <x:v>fa596d81-c243-483c-bf12-8df0a40f2ea1</x:v>
      </x:c>
      <x:c r="B51" s="4" t="str">
        <x:v>LIST</x:v>
      </x:c>
      <x:c r="C51" s="10" t="n">
        <x:v>60000</x:v>
      </x:c>
      <x:c r="D51" s="4" t="n">
        <x:f>COUNTIFS(Attempts!$A$6:$A$70,A51,Attempts!$D$6:$D$70,B51,Attempts!$E$6:$E$70,"HTTP_RESPONSE",Attempts!$F$6:$F$70,"&gt;=200",Attempts!$F$6:$F$70,"&lt;300")</x:f>
        <x:v>1</x:v>
      </x:c>
      <x:c r="E51" s="4" t="n">
        <x:f>COUNTIFS(Attempts!$A$6:$A$70,A51,Attempts!$D$6:$D$70,B51,Attempts!$E$6:$E$70,"HTTP_RESPONSE",Attempts!$F$6:$F$70,"&gt;=200",Attempts!$F$6:$F$70,"&lt;300",Attempts!$G$6:$G$70,"&gt;"&amp;C51)</x:f>
        <x:v>0</x:v>
      </x:c>
      <x:c r="F51" s="9" t="n">
        <x:f>IF(D51=0,"TODO",E51/D51)</x:f>
        <x:v>0</x:v>
      </x:c>
    </x:row>
    <x:row r="52" ht="25" customHeight="1">
      <x:c r="A52" s="4" t="str">
        <x:v>4ff4f593-c904-4916-a2da-937217b90c98</x:v>
      </x:c>
      <x:c r="B52" s="4" t="str">
        <x:v>CREATE</x:v>
      </x:c>
      <x:c r="C52" s="10" t="n">
        <x:v>10000</x:v>
      </x:c>
      <x:c r="D52" s="4" t="n">
        <x:f>COUNTIFS(Attempts!$A$6:$A$70,A52,Attempts!$D$6:$D$70,B52,Attempts!$E$6:$E$70,"HTTP_RESPONSE",Attempts!$F$6:$F$70,"&gt;=200",Attempts!$F$6:$F$70,"&lt;300")</x:f>
        <x:v>1</x:v>
      </x:c>
      <x:c r="E52" s="4" t="n">
        <x:f>COUNTIFS(Attempts!$A$6:$A$70,A52,Attempts!$D$6:$D$70,B52,Attempts!$E$6:$E$70,"HTTP_RESPONSE",Attempts!$F$6:$F$70,"&gt;=200",Attempts!$F$6:$F$70,"&lt;300",Attempts!$G$6:$G$70,"&gt;"&amp;C52)</x:f>
        <x:v>0</x:v>
      </x:c>
      <x:c r="F52" s="9" t="n">
        <x:f>IF(D52=0,"TODO",E52/D52)</x:f>
        <x:v>0</x:v>
      </x:c>
    </x:row>
    <x:row r="53" ht="25" customHeight="1">
      <x:c r="A53" s="4" t="str">
        <x:v>4ff4f593-c904-4916-a2da-937217b90c98</x:v>
      </x:c>
      <x:c r="B53" s="4" t="str">
        <x:v>CREATE</x:v>
      </x:c>
      <x:c r="C53" s="10" t="n">
        <x:v>30000</x:v>
      </x:c>
      <x:c r="D53" s="4" t="n">
        <x:f>COUNTIFS(Attempts!$A$6:$A$70,A53,Attempts!$D$6:$D$70,B53,Attempts!$E$6:$E$70,"HTTP_RESPONSE",Attempts!$F$6:$F$70,"&gt;=200",Attempts!$F$6:$F$70,"&lt;300")</x:f>
        <x:v>1</x:v>
      </x:c>
      <x:c r="E53" s="4" t="n">
        <x:f>COUNTIFS(Attempts!$A$6:$A$70,A53,Attempts!$D$6:$D$70,B53,Attempts!$E$6:$E$70,"HTTP_RESPONSE",Attempts!$F$6:$F$70,"&gt;=200",Attempts!$F$6:$F$70,"&lt;300",Attempts!$G$6:$G$70,"&gt;"&amp;C53)</x:f>
        <x:v>0</x:v>
      </x:c>
      <x:c r="F53" s="9" t="n">
        <x:f>IF(D53=0,"TODO",E53/D53)</x:f>
        <x:v>0</x:v>
      </x:c>
    </x:row>
    <x:row r="54" ht="25" customHeight="1">
      <x:c r="A54" s="4" t="str">
        <x:v>4ff4f593-c904-4916-a2da-937217b90c98</x:v>
      </x:c>
      <x:c r="B54" s="4" t="str">
        <x:v>CREATE</x:v>
      </x:c>
      <x:c r="C54" s="10" t="n">
        <x:v>60000</x:v>
      </x:c>
      <x:c r="D54" s="4" t="n">
        <x:f>COUNTIFS(Attempts!$A$6:$A$70,A54,Attempts!$D$6:$D$70,B54,Attempts!$E$6:$E$70,"HTTP_RESPONSE",Attempts!$F$6:$F$70,"&gt;=200",Attempts!$F$6:$F$70,"&lt;300")</x:f>
        <x:v>1</x:v>
      </x:c>
      <x:c r="E54" s="4" t="n">
        <x:f>COUNTIFS(Attempts!$A$6:$A$70,A54,Attempts!$D$6:$D$70,B54,Attempts!$E$6:$E$70,"HTTP_RESPONSE",Attempts!$F$6:$F$70,"&gt;=200",Attempts!$F$6:$F$70,"&lt;300",Attempts!$G$6:$G$70,"&gt;"&amp;C54)</x:f>
        <x:v>0</x:v>
      </x:c>
      <x:c r="F54" s="9" t="n">
        <x:f>IF(D54=0,"TODO",E54/D54)</x:f>
        <x:v>0</x:v>
      </x:c>
    </x:row>
    <x:row r="55" ht="25" customHeight="1">
      <x:c r="A55" s="4" t="str">
        <x:v>a42e5d55-0aa3-4a75-9f70-418a803de39d</x:v>
      </x:c>
      <x:c r="B55" s="4" t="str">
        <x:v>CREATE</x:v>
      </x:c>
      <x:c r="C55" s="10" t="n">
        <x:v>10000</x:v>
      </x:c>
      <x:c r="D55" s="4" t="n">
        <x:f>COUNTIFS(Attempts!$A$6:$A$70,A55,Attempts!$D$6:$D$70,B55,Attempts!$E$6:$E$70,"HTTP_RESPONSE",Attempts!$F$6:$F$70,"&gt;=200",Attempts!$F$6:$F$70,"&lt;300")</x:f>
        <x:v>1</x:v>
      </x:c>
      <x:c r="E55" s="4" t="n">
        <x:f>COUNTIFS(Attempts!$A$6:$A$70,A55,Attempts!$D$6:$D$70,B55,Attempts!$E$6:$E$70,"HTTP_RESPONSE",Attempts!$F$6:$F$70,"&gt;=200",Attempts!$F$6:$F$70,"&lt;300",Attempts!$G$6:$G$70,"&gt;"&amp;C55)</x:f>
        <x:v>0</x:v>
      </x:c>
      <x:c r="F55" s="9" t="n">
        <x:f>IF(D55=0,"TODO",E55/D55)</x:f>
        <x:v>0</x:v>
      </x:c>
    </x:row>
    <x:row r="56" ht="25" customHeight="1">
      <x:c r="A56" s="4" t="str">
        <x:v>a42e5d55-0aa3-4a75-9f70-418a803de39d</x:v>
      </x:c>
      <x:c r="B56" s="4" t="str">
        <x:v>CREATE</x:v>
      </x:c>
      <x:c r="C56" s="10" t="n">
        <x:v>30000</x:v>
      </x:c>
      <x:c r="D56" s="4" t="n">
        <x:f>COUNTIFS(Attempts!$A$6:$A$70,A56,Attempts!$D$6:$D$70,B56,Attempts!$E$6:$E$70,"HTTP_RESPONSE",Attempts!$F$6:$F$70,"&gt;=200",Attempts!$F$6:$F$70,"&lt;300")</x:f>
        <x:v>1</x:v>
      </x:c>
      <x:c r="E56" s="4" t="n">
        <x:f>COUNTIFS(Attempts!$A$6:$A$70,A56,Attempts!$D$6:$D$70,B56,Attempts!$E$6:$E$70,"HTTP_RESPONSE",Attempts!$F$6:$F$70,"&gt;=200",Attempts!$F$6:$F$70,"&lt;300",Attempts!$G$6:$G$70,"&gt;"&amp;C56)</x:f>
        <x:v>0</x:v>
      </x:c>
      <x:c r="F56" s="9" t="n">
        <x:f>IF(D56=0,"TODO",E56/D56)</x:f>
        <x:v>0</x:v>
      </x:c>
    </x:row>
    <x:row r="57" ht="25" customHeight="1">
      <x:c r="A57" s="4" t="str">
        <x:v>a42e5d55-0aa3-4a75-9f70-418a803de39d</x:v>
      </x:c>
      <x:c r="B57" s="4" t="str">
        <x:v>CREATE</x:v>
      </x:c>
      <x:c r="C57" s="10" t="n">
        <x:v>60000</x:v>
      </x:c>
      <x:c r="D57" s="4" t="n">
        <x:f>COUNTIFS(Attempts!$A$6:$A$70,A57,Attempts!$D$6:$D$70,B57,Attempts!$E$6:$E$70,"HTTP_RESPONSE",Attempts!$F$6:$F$70,"&gt;=200",Attempts!$F$6:$F$70,"&lt;300")</x:f>
        <x:v>1</x:v>
      </x:c>
      <x:c r="E57" s="4" t="n">
        <x:f>COUNTIFS(Attempts!$A$6:$A$70,A57,Attempts!$D$6:$D$70,B57,Attempts!$E$6:$E$70,"HTTP_RESPONSE",Attempts!$F$6:$F$70,"&gt;=200",Attempts!$F$6:$F$70,"&lt;300",Attempts!$G$6:$G$70,"&gt;"&amp;C57)</x:f>
        <x:v>0</x:v>
      </x:c>
      <x:c r="F57" s="9" t="n">
        <x:f>IF(D57=0,"TODO",E57/D57)</x:f>
        <x:v>0</x:v>
      </x:c>
    </x:row>
    <x:row r="58" ht="25" customHeight="1">
      <x:c r="A58" s="4" t="str">
        <x:v>0f2532a0-73c0-43ea-b9a1-d7a49afe4562</x:v>
      </x:c>
      <x:c r="B58" s="4" t="str">
        <x:v>LIST</x:v>
      </x:c>
      <x:c r="C58" s="10" t="n">
        <x:v>10000</x:v>
      </x:c>
      <x:c r="D58" s="4" t="n">
        <x:f>COUNTIFS(Attempts!$A$6:$A$70,A58,Attempts!$D$6:$D$70,B58,Attempts!$E$6:$E$70,"HTTP_RESPONSE",Attempts!$F$6:$F$70,"&gt;=200",Attempts!$F$6:$F$70,"&lt;300")</x:f>
        <x:v>1</x:v>
      </x:c>
      <x:c r="E58" s="4" t="n">
        <x:f>COUNTIFS(Attempts!$A$6:$A$70,A58,Attempts!$D$6:$D$70,B58,Attempts!$E$6:$E$70,"HTTP_RESPONSE",Attempts!$F$6:$F$70,"&gt;=200",Attempts!$F$6:$F$70,"&lt;300",Attempts!$G$6:$G$70,"&gt;"&amp;C58)</x:f>
        <x:v>0</x:v>
      </x:c>
      <x:c r="F58" s="9" t="n">
        <x:f>IF(D58=0,"TODO",E58/D58)</x:f>
        <x:v>0</x:v>
      </x:c>
    </x:row>
    <x:row r="59" ht="25" customHeight="1">
      <x:c r="A59" s="4" t="str">
        <x:v>0f2532a0-73c0-43ea-b9a1-d7a49afe4562</x:v>
      </x:c>
      <x:c r="B59" s="4" t="str">
        <x:v>LIST</x:v>
      </x:c>
      <x:c r="C59" s="10" t="n">
        <x:v>30000</x:v>
      </x:c>
      <x:c r="D59" s="4" t="n">
        <x:f>COUNTIFS(Attempts!$A$6:$A$70,A59,Attempts!$D$6:$D$70,B59,Attempts!$E$6:$E$70,"HTTP_RESPONSE",Attempts!$F$6:$F$70,"&gt;=200",Attempts!$F$6:$F$70,"&lt;300")</x:f>
        <x:v>1</x:v>
      </x:c>
      <x:c r="E59" s="4" t="n">
        <x:f>COUNTIFS(Attempts!$A$6:$A$70,A59,Attempts!$D$6:$D$70,B59,Attempts!$E$6:$E$70,"HTTP_RESPONSE",Attempts!$F$6:$F$70,"&gt;=200",Attempts!$F$6:$F$70,"&lt;300",Attempts!$G$6:$G$70,"&gt;"&amp;C59)</x:f>
        <x:v>0</x:v>
      </x:c>
      <x:c r="F59" s="9" t="n">
        <x:f>IF(D59=0,"TODO",E59/D59)</x:f>
        <x:v>0</x:v>
      </x:c>
    </x:row>
    <x:row r="60" ht="25" customHeight="1">
      <x:c r="A60" s="4" t="str">
        <x:v>0f2532a0-73c0-43ea-b9a1-d7a49afe4562</x:v>
      </x:c>
      <x:c r="B60" s="4" t="str">
        <x:v>LIST</x:v>
      </x:c>
      <x:c r="C60" s="10" t="n">
        <x:v>60000</x:v>
      </x:c>
      <x:c r="D60" s="4" t="n">
        <x:f>COUNTIFS(Attempts!$A$6:$A$70,A60,Attempts!$D$6:$D$70,B60,Attempts!$E$6:$E$70,"HTTP_RESPONSE",Attempts!$F$6:$F$70,"&gt;=200",Attempts!$F$6:$F$70,"&lt;300")</x:f>
        <x:v>1</x:v>
      </x:c>
      <x:c r="E60" s="4" t="n">
        <x:f>COUNTIFS(Attempts!$A$6:$A$70,A60,Attempts!$D$6:$D$70,B60,Attempts!$E$6:$E$70,"HTTP_RESPONSE",Attempts!$F$6:$F$70,"&gt;=200",Attempts!$F$6:$F$70,"&lt;300",Attempts!$G$6:$G$70,"&gt;"&amp;C60)</x:f>
        <x:v>0</x:v>
      </x:c>
      <x:c r="F60" s="9" t="n">
        <x:f>IF(D60=0,"TODO",E60/D60)</x:f>
        <x:v>0</x:v>
      </x:c>
    </x:row>
    <x:row r="61" ht="25" customHeight="1">
      <x:c r="A61" s="4" t="str">
        <x:v>ccc9290e-06c6-4f9c-9c76-e409eb068e4d</x:v>
      </x:c>
      <x:c r="B61" s="4" t="str">
        <x:v>LIST</x:v>
      </x:c>
      <x:c r="C61" s="10" t="n">
        <x:v>10000</x:v>
      </x:c>
      <x:c r="D61" s="4" t="n">
        <x:f>COUNTIFS(Attempts!$A$6:$A$70,A61,Attempts!$D$6:$D$70,B61,Attempts!$E$6:$E$70,"HTTP_RESPONSE",Attempts!$F$6:$F$70,"&gt;=200",Attempts!$F$6:$F$70,"&lt;300")</x:f>
        <x:v>2</x:v>
      </x:c>
      <x:c r="E61" s="4" t="n">
        <x:f>COUNTIFS(Attempts!$A$6:$A$70,A61,Attempts!$D$6:$D$70,B61,Attempts!$E$6:$E$70,"HTTP_RESPONSE",Attempts!$F$6:$F$70,"&gt;=200",Attempts!$F$6:$F$70,"&lt;300",Attempts!$G$6:$G$70,"&gt;"&amp;C61)</x:f>
        <x:v>2</x:v>
      </x:c>
      <x:c r="F61" s="9" t="n">
        <x:f>IF(D61=0,"TODO",E61/D61)</x:f>
        <x:v>1</x:v>
      </x:c>
    </x:row>
    <x:row r="62" ht="25" customHeight="1">
      <x:c r="A62" s="4" t="str">
        <x:v>ccc9290e-06c6-4f9c-9c76-e409eb068e4d</x:v>
      </x:c>
      <x:c r="B62" s="4" t="str">
        <x:v>LIST</x:v>
      </x:c>
      <x:c r="C62" s="10" t="n">
        <x:v>30000</x:v>
      </x:c>
      <x:c r="D62" s="4" t="n">
        <x:f>COUNTIFS(Attempts!$A$6:$A$70,A62,Attempts!$D$6:$D$70,B62,Attempts!$E$6:$E$70,"HTTP_RESPONSE",Attempts!$F$6:$F$70,"&gt;=200",Attempts!$F$6:$F$70,"&lt;300")</x:f>
        <x:v>2</x:v>
      </x:c>
      <x:c r="E62" s="4" t="n">
        <x:f>COUNTIFS(Attempts!$A$6:$A$70,A62,Attempts!$D$6:$D$70,B62,Attempts!$E$6:$E$70,"HTTP_RESPONSE",Attempts!$F$6:$F$70,"&gt;=200",Attempts!$F$6:$F$70,"&lt;300",Attempts!$G$6:$G$70,"&gt;"&amp;C62)</x:f>
        <x:v>0</x:v>
      </x:c>
      <x:c r="F62" s="9" t="n">
        <x:f>IF(D62=0,"TODO",E62/D62)</x:f>
        <x:v>0</x:v>
      </x:c>
    </x:row>
    <x:row r="63" ht="25" customHeight="1">
      <x:c r="A63" s="4" t="str">
        <x:v>ccc9290e-06c6-4f9c-9c76-e409eb068e4d</x:v>
      </x:c>
      <x:c r="B63" s="4" t="str">
        <x:v>LIST</x:v>
      </x:c>
      <x:c r="C63" s="10" t="n">
        <x:v>60000</x:v>
      </x:c>
      <x:c r="D63" s="4" t="n">
        <x:f>COUNTIFS(Attempts!$A$6:$A$70,A63,Attempts!$D$6:$D$70,B63,Attempts!$E$6:$E$70,"HTTP_RESPONSE",Attempts!$F$6:$F$70,"&gt;=200",Attempts!$F$6:$F$70,"&lt;300")</x:f>
        <x:v>2</x:v>
      </x:c>
      <x:c r="E63" s="4" t="n">
        <x:f>COUNTIFS(Attempts!$A$6:$A$70,A63,Attempts!$D$6:$D$70,B63,Attempts!$E$6:$E$70,"HTTP_RESPONSE",Attempts!$F$6:$F$70,"&gt;=200",Attempts!$F$6:$F$70,"&lt;300",Attempts!$G$6:$G$70,"&gt;"&amp;C63)</x:f>
        <x:v>0</x:v>
      </x:c>
      <x:c r="F63" s="9" t="n">
        <x:f>IF(D63=0,"TODO",E63/D63)</x:f>
        <x:v>0</x:v>
      </x:c>
    </x:row>
    <x:row r="66" ht="25" customHeight="1">
      <x:c r="A66" s="1" t="str">
        <x:v>Retry 공학 상한. 성공률·Fixed/Exponential 우열은 추가 실험 필요. 안내 h는 가정 입력.</x:v>
      </x:c>
    </x:row>
    <x:row r="67" ht="32" customHeight="1">
      <x:c r="A67" s="7" t="str">
        <x:v>추가 횟수 R</x:v>
      </x:c>
      <x:c r="B67" s="7" t="str">
        <x:v>방식</x:v>
      </x:c>
      <x:c r="C67" s="7" t="str">
        <x:v>요청 상한 T ms</x:v>
      </x:c>
      <x:c r="D67" s="7" t="str">
        <x:v>초기 대기 b ms</x:v>
      </x:c>
      <x:c r="E67" s="7" t="str">
        <x:v>cap ms</x:v>
      </x:c>
      <x:c r="F67" s="7" t="str">
        <x:v>안내 h ms</x:v>
      </x:c>
      <x:c r="G67" s="7" t="str">
        <x:v>대기 합 ms</x:v>
      </x:c>
      <x:c r="H67" s="7" t="str">
        <x:v>총 상한 W ms</x:v>
      </x:c>
    </x:row>
    <x:row r="68" ht="25" customHeight="1">
      <x:c r="A68" s="10" t="n">
        <x:v>0</x:v>
      </x:c>
      <x:c r="B68" s="10" t="str">
        <x:v>FIXED</x:v>
      </x:c>
      <x:c r="C68" s="10" t="n">
        <x:v>30000</x:v>
      </x:c>
      <x:c r="D68" s="10" t="n">
        <x:v>1000</x:v>
      </x:c>
      <x:c r="E68" s="10" t="n">
        <x:v>4000</x:v>
      </x:c>
      <x:c r="F68" s="10" t="n">
        <x:v>30000</x:v>
      </x:c>
      <x:c r="G68" s="4" t="n">
        <x:f>IF(A68=0,0,MAX(D68,F68)+IF(A68=2,MAX(IF(B68="FIXED",D68,MIN(E68,2*D68)),F68),0))</x:f>
        <x:v>0</x:v>
      </x:c>
      <x:c r="H68" s="4" t="n">
        <x:f>(A68+1)*C68+G68</x:f>
        <x:v>30000</x:v>
      </x:c>
    </x:row>
    <x:row r="69" ht="25" customHeight="1">
      <x:c r="A69" s="10" t="n">
        <x:v>0</x:v>
      </x:c>
      <x:c r="B69" s="10" t="str">
        <x:v>EXPONENTIAL</x:v>
      </x:c>
      <x:c r="C69" s="10" t="n">
        <x:v>30000</x:v>
      </x:c>
      <x:c r="D69" s="10" t="n">
        <x:v>1000</x:v>
      </x:c>
      <x:c r="E69" s="10" t="n">
        <x:v>4000</x:v>
      </x:c>
      <x:c r="F69" s="10" t="n">
        <x:v>30000</x:v>
      </x:c>
      <x:c r="G69" s="4" t="n">
        <x:f>IF(A69=0,0,MAX(D69,F69)+IF(A69=2,MAX(IF(B69="FIXED",D69,MIN(E69,2*D69)),F69),0))</x:f>
        <x:v>0</x:v>
      </x:c>
      <x:c r="H69" s="4" t="n">
        <x:f>(A69+1)*C69+G69</x:f>
        <x:v>30000</x:v>
      </x:c>
    </x:row>
    <x:row r="70" ht="25" customHeight="1">
      <x:c r="A70" s="10" t="n">
        <x:v>1</x:v>
      </x:c>
      <x:c r="B70" s="10" t="str">
        <x:v>FIXED</x:v>
      </x:c>
      <x:c r="C70" s="10" t="n">
        <x:v>30000</x:v>
      </x:c>
      <x:c r="D70" s="10" t="n">
        <x:v>1000</x:v>
      </x:c>
      <x:c r="E70" s="10" t="n">
        <x:v>4000</x:v>
      </x:c>
      <x:c r="F70" s="10" t="n">
        <x:v>30000</x:v>
      </x:c>
      <x:c r="G70" s="4" t="n">
        <x:f>IF(A70=0,0,MAX(D70,F70)+IF(A70=2,MAX(IF(B70="FIXED",D70,MIN(E70,2*D70)),F70),0))</x:f>
        <x:v>30000</x:v>
      </x:c>
      <x:c r="H70" s="4" t="n">
        <x:f>(A70+1)*C70+G70</x:f>
        <x:v>90000</x:v>
      </x:c>
    </x:row>
    <x:row r="71" ht="25" customHeight="1">
      <x:c r="A71" s="10" t="n">
        <x:v>1</x:v>
      </x:c>
      <x:c r="B71" s="10" t="str">
        <x:v>EXPONENTIAL</x:v>
      </x:c>
      <x:c r="C71" s="10" t="n">
        <x:v>30000</x:v>
      </x:c>
      <x:c r="D71" s="10" t="n">
        <x:v>1000</x:v>
      </x:c>
      <x:c r="E71" s="10" t="n">
        <x:v>4000</x:v>
      </x:c>
      <x:c r="F71" s="10" t="n">
        <x:v>30000</x:v>
      </x:c>
      <x:c r="G71" s="4" t="n">
        <x:f>IF(A71=0,0,MAX(D71,F71)+IF(A71=2,MAX(IF(B71="FIXED",D71,MIN(E71,2*D71)),F71),0))</x:f>
        <x:v>30000</x:v>
      </x:c>
      <x:c r="H71" s="4" t="n">
        <x:f>(A71+1)*C71+G71</x:f>
        <x:v>90000</x:v>
      </x:c>
    </x:row>
    <x:row r="72" ht="25" customHeight="1">
      <x:c r="A72" s="10" t="n">
        <x:v>2</x:v>
      </x:c>
      <x:c r="B72" s="10" t="str">
        <x:v>FIXED</x:v>
      </x:c>
      <x:c r="C72" s="10" t="n">
        <x:v>30000</x:v>
      </x:c>
      <x:c r="D72" s="10" t="n">
        <x:v>1000</x:v>
      </x:c>
      <x:c r="E72" s="10" t="n">
        <x:v>4000</x:v>
      </x:c>
      <x:c r="F72" s="10" t="n">
        <x:v>30000</x:v>
      </x:c>
      <x:c r="G72" s="4" t="n">
        <x:f>IF(A72=0,0,MAX(D72,F72)+IF(A72=2,MAX(IF(B72="FIXED",D72,MIN(E72,2*D72)),F72),0))</x:f>
        <x:v>60000</x:v>
      </x:c>
      <x:c r="H72" s="4" t="n">
        <x:f>(A72+1)*C72+G72</x:f>
        <x:v>150000</x:v>
      </x:c>
    </x:row>
    <x:row r="73" ht="25" customHeight="1">
      <x:c r="A73" s="10" t="n">
        <x:v>2</x:v>
      </x:c>
      <x:c r="B73" s="10" t="str">
        <x:v>EXPONENTIAL</x:v>
      </x:c>
      <x:c r="C73" s="10" t="n">
        <x:v>30000</x:v>
      </x:c>
      <x:c r="D73" s="10" t="n">
        <x:v>1000</x:v>
      </x:c>
      <x:c r="E73" s="10" t="n">
        <x:v>4000</x:v>
      </x:c>
      <x:c r="F73" s="10" t="n">
        <x:v>30000</x:v>
      </x:c>
      <x:c r="G73" s="4" t="n">
        <x:f>IF(A73=0,0,MAX(D73,F73)+IF(A73=2,MAX(IF(B73="FIXED",D73,MIN(E73,2*D73)),F73),0))</x:f>
        <x:v>60000</x:v>
      </x:c>
      <x:c r="H73" s="4" t="n">
        <x:f>(A73+1)*C73+G73</x:f>
        <x:v>150000</x:v>
      </x:c>
    </x:row>
    <x:row r="75" ht="25" customHeight="1">
      <x:c r="A75" s="1" t="str">
        <x:v>W=(R+1)T+Σmax(backoff,h). 큐·저장 여유는 별도. deadline 부족 시 후속 요청을 시작하지 않음.</x:v>
      </x:c>
    </x:row>
    <x:row r="78" ht="32" customHeight="1">
      <x:c r="A78" s="7" t="str">
        <x:v>폴링 간격 P ms</x:v>
      </x:c>
      <x:c r="B78" s="7" t="str">
        <x:v>최대 횟수 K</x:v>
      </x:c>
      <x:c r="C78" s="7" t="str">
        <x:v>시간 상한 D ms</x:v>
      </x:c>
      <x:c r="D78" s="7" t="str">
        <x:v>완료시간 d ms</x:v>
      </x:c>
      <x:c r="E78" s="7" t="str">
        <x:v>예상 조회 수</x:v>
      </x:c>
      <x:c r="F78" s="7" t="str">
        <x:v>발견 지연 ms</x:v>
      </x:c>
      <x:c r="G78" s="7" t="str">
        <x:v>측정 완료 n</x:v>
      </x:c>
    </x:row>
    <x:row r="79" ht="25" customHeight="1">
      <x:c r="A79" s="10" t="n">
        <x:v>2000</x:v>
      </x:c>
      <x:c r="B79" s="10" t="n">
        <x:v>6</x:v>
      </x:c>
      <x:c r="C79" s="10" t="n">
        <x:v>120000</x:v>
      </x:c>
      <x:c r="D79" s="10"/>
      <x:c r="E79" s="4" t="str">
        <x:f>IF(D79="","추가 실험 필요",MAX(1,ROUNDUP(D79/A79,0)))</x:f>
        <x:v>추가 실험 필요</x:v>
      </x:c>
      <x:c r="F79" s="4" t="str">
        <x:f>IF(D79="","추가 실험 필요",E79*A79-D79)</x:f>
        <x:v>추가 실험 필요</x:v>
      </x:c>
      <x:c r="G79" s="4" t="n">
        <x:v>0</x:v>
      </x:c>
    </x:row>
    <x:row r="80" ht="25" customHeight="1">
      <x:c r="A80" s="10" t="n">
        <x:v>5000</x:v>
      </x:c>
      <x:c r="B80" s="10" t="n">
        <x:v>6</x:v>
      </x:c>
      <x:c r="C80" s="10" t="n">
        <x:v>120000</x:v>
      </x:c>
      <x:c r="D80" s="10"/>
      <x:c r="E80" s="4" t="str">
        <x:f>IF(D80="","추가 실험 필요",MAX(1,ROUNDUP(D80/A80,0)))</x:f>
        <x:v>추가 실험 필요</x:v>
      </x:c>
      <x:c r="F80" s="4" t="str">
        <x:f>IF(D80="","추가 실험 필요",E80*A80-D80)</x:f>
        <x:v>추가 실험 필요</x:v>
      </x:c>
      <x:c r="G80" s="4" t="n">
        <x:v>0</x:v>
      </x:c>
    </x:row>
    <x:row r="81" ht="25" customHeight="1">
      <x:c r="A81" s="10" t="n">
        <x:v>10000</x:v>
      </x:c>
      <x:c r="B81" s="10" t="n">
        <x:v>6</x:v>
      </x:c>
      <x:c r="C81" s="10" t="n">
        <x:v>120000</x:v>
      </x:c>
      <x:c r="D81" s="10"/>
      <x:c r="E81" s="4" t="str">
        <x:f>IF(D81="","추가 실험 필요",MAX(1,ROUNDUP(D81/A81,0)))</x:f>
        <x:v>추가 실험 필요</x:v>
      </x:c>
      <x:c r="F81" s="4" t="str">
        <x:f>IF(D81="","추가 실험 필요",E81*A81-D81)</x:f>
        <x:v>추가 실험 필요</x:v>
      </x:c>
      <x:c r="G81" s="4" t="n">
        <x:v>0</x:v>
      </x:c>
    </x:row>
    <x:row r="83" ht="25" customHeight="1">
      <x:c r="A83" s="1" t="str">
        <x:v>ceil(d/P) 모델은 즉시 응답·실패 없음 가정. 실제 응답 후 대기는 W=Tpost+K(P+Tget). 업무 d는 미관측.</x:v>
      </x:c>
    </x:row>
  </x:sheetData>
  <x:dataValidations count="1">
    <x:dataValidation type="whole" operator="between" sqref="A68:A73">
      <x:formula1>0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5" hidden="0" customWidth="1"/>
    <x:col min="3" max="3" width="23" hidden="0" customWidth="1"/>
    <x:col min="4" max="4" width="27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7" hidden="0" customWidth="1"/>
  </x:cols>
  <x:sheetData>
    <x:row r="2" ht="25" customHeight="1">
      <x:c r="A2" s="2" t="str">
        <x:v>Cohorts</x:v>
      </x:c>
    </x:row>
    <x:row r="4" ht="25" customHeight="1">
      <x:c r="A4" s="1" t="str">
        <x:v>Type7 스냅샷 통계. run/Endpoint/상태별 분리. 원본 추가 시 재생성. n≤2의 p99는 장기 tail 보장이 아님.</x:v>
      </x:c>
    </x:row>
    <x:row r="6" ht="32" customHeight="1">
      <x:c r="A6" s="7" t="str">
        <x:v>run ID</x:v>
      </x:c>
      <x:c r="B6" s="7" t="str">
        <x:v>Endpoint</x:v>
      </x:c>
      <x:c r="C6" s="7" t="str">
        <x:v>HTTP/전송 결과</x:v>
      </x:c>
      <x:c r="D6" s="7" t="str">
        <x:v>측정 의미</x:v>
      </x:c>
      <x:c r="E6" s="7" t="str">
        <x:v>n</x:v>
      </x:c>
      <x:c r="F6" s="7" t="str">
        <x:v>평균 ms</x:v>
      </x:c>
      <x:c r="G6" s="7" t="str">
        <x:v>p50 ms</x:v>
      </x:c>
      <x:c r="H6" s="7" t="str">
        <x:v>p95 ms</x:v>
      </x:c>
      <x:c r="I6" s="7" t="str">
        <x:v>p99 ms</x:v>
      </x:c>
      <x:c r="J6" s="7" t="str">
        <x:v>최대 ms</x:v>
      </x:c>
      <x:c r="K6" s="7" t="str">
        <x:v>평균−중앙값 ms</x:v>
      </x:c>
      <x:c r="L6" s="7" t="str">
        <x:v>집단</x:v>
      </x:c>
    </x:row>
    <x:row r="7" ht="25" customHeight="1">
      <x:c r="A7" s="4" t="str">
        <x:v>e83392ee-b8f9-4f29-bf31-4e4032154ff1</x:v>
      </x:c>
      <x:c r="B7" s="4" t="str">
        <x:v>LIST</x:v>
      </x:c>
      <x:c r="C7" s="4" t="str">
        <x:v>REQUEST_TIMEOUT</x:v>
      </x:c>
      <x:c r="D7" s="4" t="str">
        <x:v>interruption_elapsed_ms</x:v>
      </x:c>
      <x:c r="E7" s="4" t="n">
        <x:v>1</x:v>
      </x:c>
      <x:c r="F7" s="8" t="n">
        <x:v>10003.931728</x:v>
      </x:c>
      <x:c r="G7" s="8" t="n">
        <x:v>10003.931728</x:v>
      </x:c>
      <x:c r="H7" s="8" t="n">
        <x:v>10003.931728</x:v>
      </x:c>
      <x:c r="I7" s="8" t="n">
        <x:v>10003.931728</x:v>
      </x:c>
      <x:c r="J7" s="8" t="n">
        <x:v>10003.931728</x:v>
      </x:c>
      <x:c r="K7" s="8" t="n">
        <x:v>0</x:v>
      </x:c>
      <x:c r="L7" s="4" t="str">
        <x:v>OTHER_EXPLORATORY</x:v>
      </x:c>
    </x:row>
    <x:row r="8" ht="25" customHeight="1">
      <x:c r="A8" s="4" t="str">
        <x:v>f70323f3-2b6b-4d72-9f7a-a9bf31d23557</x:v>
      </x:c>
      <x:c r="B8" s="4" t="str">
        <x:v>LIST</x:v>
      </x:c>
      <x:c r="C8" s="4" t="str">
        <x:v>REQUEST_TIMEOUT</x:v>
      </x:c>
      <x:c r="D8" s="4" t="str">
        <x:v>interruption_elapsed_ms</x:v>
      </x:c>
      <x:c r="E8" s="4" t="n">
        <x:v>1</x:v>
      </x:c>
      <x:c r="F8" s="8" t="n">
        <x:v>30004.22323</x:v>
      </x:c>
      <x:c r="G8" s="8" t="n">
        <x:v>30004.22323</x:v>
      </x:c>
      <x:c r="H8" s="8" t="n">
        <x:v>30004.22323</x:v>
      </x:c>
      <x:c r="I8" s="8" t="n">
        <x:v>30004.22323</x:v>
      </x:c>
      <x:c r="J8" s="8" t="n">
        <x:v>30004.22323</x:v>
      </x:c>
      <x:c r="K8" s="8" t="n">
        <x:v>0</x:v>
      </x:c>
      <x:c r="L8" s="4" t="str">
        <x:v>OTHER_EXPLORATORY</x:v>
      </x:c>
    </x:row>
    <x:row r="9" ht="25" customHeight="1">
      <x:c r="A9" s="4" t="str">
        <x:v>2bc4b99c-502d-4f1b-9fbb-9a767c193833</x:v>
      </x:c>
      <x:c r="B9" s="4" t="str">
        <x:v>LIST</x:v>
      </x:c>
      <x:c r="C9" s="4" t="n">
        <x:v>200</x:v>
      </x:c>
      <x:c r="D9" s="4" t="str">
        <x:v>completed_http_ms</x:v>
      </x:c>
      <x:c r="E9" s="4" t="n">
        <x:v>1</x:v>
      </x:c>
      <x:c r="F9" s="8" t="n">
        <x:v>14084.269291</x:v>
      </x:c>
      <x:c r="G9" s="8" t="n">
        <x:v>14084.269291</x:v>
      </x:c>
      <x:c r="H9" s="8" t="n">
        <x:v>14084.269291</x:v>
      </x:c>
      <x:c r="I9" s="8" t="n">
        <x:v>14084.269291</x:v>
      </x:c>
      <x:c r="J9" s="8" t="n">
        <x:v>14084.269291</x:v>
      </x:c>
      <x:c r="K9" s="8" t="n">
        <x:v>0</x:v>
      </x:c>
      <x:c r="L9" s="4" t="str">
        <x:v>OTHER_EXPLORATORY</x:v>
      </x:c>
    </x:row>
    <x:row r="10" ht="25" customHeight="1">
      <x:c r="A10" s="4" t="str">
        <x:v>7766daec-5f98-450b-89b8-7cd18f4683d2</x:v>
      </x:c>
      <x:c r="B10" s="4" t="str">
        <x:v>LIST</x:v>
      </x:c>
      <x:c r="C10" s="4" t="n">
        <x:v>200</x:v>
      </x:c>
      <x:c r="D10" s="4" t="str">
        <x:v>completed_http_ms</x:v>
      </x:c>
      <x:c r="E10" s="4" t="n">
        <x:v>1</x:v>
      </x:c>
      <x:c r="F10" s="8" t="n">
        <x:v>2373.46457</x:v>
      </x:c>
      <x:c r="G10" s="8" t="n">
        <x:v>2373.46457</x:v>
      </x:c>
      <x:c r="H10" s="8" t="n">
        <x:v>2373.46457</x:v>
      </x:c>
      <x:c r="I10" s="8" t="n">
        <x:v>2373.46457</x:v>
      </x:c>
      <x:c r="J10" s="8" t="n">
        <x:v>2373.46457</x:v>
      </x:c>
      <x:c r="K10" s="8" t="n">
        <x:v>0</x:v>
      </x:c>
      <x:c r="L10" s="4" t="str">
        <x:v>OTHER_EXPLORATORY</x:v>
      </x:c>
    </x:row>
    <x:row r="11" ht="25" customHeight="1">
      <x:c r="A11" s="4" t="str">
        <x:v>50c4afc0-a755-49f6-8ea1-1c6821f54ce9</x:v>
      </x:c>
      <x:c r="B11" s="4" t="str">
        <x:v>LIST</x:v>
      </x:c>
      <x:c r="C11" s="4" t="str">
        <x:v>REQUEST_TIMEOUT</x:v>
      </x:c>
      <x:c r="D11" s="4" t="str">
        <x:v>interruption_elapsed_ms</x:v>
      </x:c>
      <x:c r="E11" s="4" t="n">
        <x:v>1</x:v>
      </x:c>
      <x:c r="F11" s="8" t="n">
        <x:v>30003.611125</x:v>
      </x:c>
      <x:c r="G11" s="8" t="n">
        <x:v>30003.611125</x:v>
      </x:c>
      <x:c r="H11" s="8" t="n">
        <x:v>30003.611125</x:v>
      </x:c>
      <x:c r="I11" s="8" t="n">
        <x:v>30003.611125</x:v>
      </x:c>
      <x:c r="J11" s="8" t="n">
        <x:v>30003.611125</x:v>
      </x:c>
      <x:c r="K11" s="8" t="n">
        <x:v>0</x:v>
      </x:c>
      <x:c r="L11" s="4" t="str">
        <x:v>OTHER_EXPLORATORY</x:v>
      </x:c>
    </x:row>
    <x:row r="12" ht="25" customHeight="1">
      <x:c r="A12" s="4" t="str">
        <x:v>50c4afc0-a755-49f6-8ea1-1c6821f54ce9</x:v>
      </x:c>
      <x:c r="B12" s="4" t="str">
        <x:v>LIST</x:v>
      </x:c>
      <x:c r="C12" s="4" t="n">
        <x:v>503</x:v>
      </x:c>
      <x:c r="D12" s="4" t="str">
        <x:v>completed_http_ms</x:v>
      </x:c>
      <x:c r="E12" s="4" t="n">
        <x:v>1</x:v>
      </x:c>
      <x:c r="F12" s="8" t="n">
        <x:v>1166.10174</x:v>
      </x:c>
      <x:c r="G12" s="8" t="n">
        <x:v>1166.10174</x:v>
      </x:c>
      <x:c r="H12" s="8" t="n">
        <x:v>1166.10174</x:v>
      </x:c>
      <x:c r="I12" s="8" t="n">
        <x:v>1166.10174</x:v>
      </x:c>
      <x:c r="J12" s="8" t="n">
        <x:v>1166.10174</x:v>
      </x:c>
      <x:c r="K12" s="8" t="n">
        <x:v>0</x:v>
      </x:c>
      <x:c r="L12" s="4" t="str">
        <x:v>OTHER_EXPLORATORY</x:v>
      </x:c>
    </x:row>
    <x:row r="13" ht="25" customHeight="1">
      <x:c r="A13" s="4" t="str">
        <x:v>0664760e-a7c2-49f4-8110-b49a75175cac</x:v>
      </x:c>
      <x:c r="B13" s="4" t="str">
        <x:v>LIST</x:v>
      </x:c>
      <x:c r="C13" s="4" t="str">
        <x:v>REQUEST_TIMEOUT</x:v>
      </x:c>
      <x:c r="D13" s="4" t="str">
        <x:v>interruption_elapsed_ms</x:v>
      </x:c>
      <x:c r="E13" s="4" t="n">
        <x:v>1</x:v>
      </x:c>
      <x:c r="F13" s="8" t="n">
        <x:v>30000.303839</x:v>
      </x:c>
      <x:c r="G13" s="8" t="n">
        <x:v>30000.303839</x:v>
      </x:c>
      <x:c r="H13" s="8" t="n">
        <x:v>30000.303839</x:v>
      </x:c>
      <x:c r="I13" s="8" t="n">
        <x:v>30000.303839</x:v>
      </x:c>
      <x:c r="J13" s="8" t="n">
        <x:v>30000.303839</x:v>
      </x:c>
      <x:c r="K13" s="8" t="n">
        <x:v>0</x:v>
      </x:c>
      <x:c r="L13" s="4" t="str">
        <x:v>OTHER_EXPLORATORY</x:v>
      </x:c>
    </x:row>
    <x:row r="14" ht="25" customHeight="1">
      <x:c r="A14" s="4" t="str">
        <x:v>9dd4a2d6-e702-4ef1-83aa-88bbb5eda46d</x:v>
      </x:c>
      <x:c r="B14" s="4" t="str">
        <x:v>LIST</x:v>
      </x:c>
      <x:c r="C14" s="4" t="n">
        <x:v>503</x:v>
      </x:c>
      <x:c r="D14" s="4" t="str">
        <x:v>completed_http_ms</x:v>
      </x:c>
      <x:c r="E14" s="4" t="n">
        <x:v>1</x:v>
      </x:c>
      <x:c r="F14" s="8" t="n">
        <x:v>1362.643001</x:v>
      </x:c>
      <x:c r="G14" s="8" t="n">
        <x:v>1362.643001</x:v>
      </x:c>
      <x:c r="H14" s="8" t="n">
        <x:v>1362.643001</x:v>
      </x:c>
      <x:c r="I14" s="8" t="n">
        <x:v>1362.643001</x:v>
      </x:c>
      <x:c r="J14" s="8" t="n">
        <x:v>1362.643001</x:v>
      </x:c>
      <x:c r="K14" s="8" t="n">
        <x:v>0</x:v>
      </x:c>
      <x:c r="L14" s="4" t="str">
        <x:v>INITIAL_11_CASES</x:v>
      </x:c>
    </x:row>
    <x:row r="15" ht="25" customHeight="1">
      <x:c r="A15" s="4" t="str">
        <x:v>0f599928-512a-4b08-a113-8f3913ada02f</x:v>
      </x:c>
      <x:c r="B15" s="4" t="str">
        <x:v>LIST</x:v>
      </x:c>
      <x:c r="C15" s="4" t="n">
        <x:v>500</x:v>
      </x:c>
      <x:c r="D15" s="4" t="str">
        <x:v>completed_http_ms</x:v>
      </x:c>
      <x:c r="E15" s="4" t="n">
        <x:v>2</x:v>
      </x:c>
      <x:c r="F15" s="8" t="n">
        <x:v>1184.3042719999999</x:v>
      </x:c>
      <x:c r="G15" s="8" t="n">
        <x:v>1184.3042719999999</x:v>
      </x:c>
      <x:c r="H15" s="8" t="n">
        <x:v>1193.1226600999998</x:v>
      </x:c>
      <x:c r="I15" s="8" t="n">
        <x:v>1193.90651682</x:v>
      </x:c>
      <x:c r="J15" s="8" t="n">
        <x:v>1194.102481</x:v>
      </x:c>
      <x:c r="K15" s="8" t="n">
        <x:v>0</x:v>
      </x:c>
      <x:c r="L15" s="4" t="str">
        <x:v>INITIAL_11_CASES</x:v>
      </x:c>
    </x:row>
    <x:row r="16" ht="25" customHeight="1">
      <x:c r="A16" s="4" t="str">
        <x:v>bceb8eb7-7715-4efe-9c5d-00fd68d2e35a</x:v>
      </x:c>
      <x:c r="B16" s="4" t="str">
        <x:v>LIST</x:v>
      </x:c>
      <x:c r="C16" s="4" t="n">
        <x:v>503</x:v>
      </x:c>
      <x:c r="D16" s="4" t="str">
        <x:v>completed_http_ms</x:v>
      </x:c>
      <x:c r="E16" s="4" t="n">
        <x:v>1</x:v>
      </x:c>
      <x:c r="F16" s="8" t="n">
        <x:v>775.559435</x:v>
      </x:c>
      <x:c r="G16" s="8" t="n">
        <x:v>775.559435</x:v>
      </x:c>
      <x:c r="H16" s="8" t="n">
        <x:v>775.559435</x:v>
      </x:c>
      <x:c r="I16" s="8" t="n">
        <x:v>775.559435</x:v>
      </x:c>
      <x:c r="J16" s="8" t="n">
        <x:v>775.559435</x:v>
      </x:c>
      <x:c r="K16" s="8" t="n">
        <x:v>0</x:v>
      </x:c>
      <x:c r="L16" s="4" t="str">
        <x:v>INITIAL_11_CASES</x:v>
      </x:c>
    </x:row>
    <x:row r="17" ht="25" customHeight="1">
      <x:c r="A17" s="4" t="str">
        <x:v>bceb8eb7-7715-4efe-9c5d-00fd68d2e35a</x:v>
      </x:c>
      <x:c r="B17" s="4" t="str">
        <x:v>LIST</x:v>
      </x:c>
      <x:c r="C17" s="4" t="str">
        <x:v>CANCELLED</x:v>
      </x:c>
      <x:c r="D17" s="4" t="str">
        <x:v>interruption_elapsed_ms</x:v>
      </x:c>
      <x:c r="E17" s="4" t="n">
        <x:v>2</x:v>
      </x:c>
      <x:c r="F17" s="8" t="n">
        <x:v>804.7316265</x:v>
      </x:c>
      <x:c r="G17" s="8" t="n">
        <x:v>804.7316265</x:v>
      </x:c>
      <x:c r="H17" s="8" t="n">
        <x:v>804.75303705</x:v>
      </x:c>
      <x:c r="I17" s="8" t="n">
        <x:v>804.75494021</x:v>
      </x:c>
      <x:c r="J17" s="8" t="n">
        <x:v>804.755416</x:v>
      </x:c>
      <x:c r="K17" s="8" t="n">
        <x:v>0</x:v>
      </x:c>
      <x:c r="L17" s="4" t="str">
        <x:v>INITIAL_11_CASES</x:v>
      </x:c>
    </x:row>
    <x:row r="18" ht="25" customHeight="1">
      <x:c r="A18" s="4" t="str">
        <x:v>15b904a5-002f-4348-89d1-44f18868da03</x:v>
      </x:c>
      <x:c r="B18" s="4" t="str">
        <x:v>LIST</x:v>
      </x:c>
      <x:c r="C18" s="4" t="n">
        <x:v>200</x:v>
      </x:c>
      <x:c r="D18" s="4" t="str">
        <x:v>completed_http_ms</x:v>
      </x:c>
      <x:c r="E18" s="4" t="n">
        <x:v>1</x:v>
      </x:c>
      <x:c r="F18" s="8" t="n">
        <x:v>1136.100175</x:v>
      </x:c>
      <x:c r="G18" s="8" t="n">
        <x:v>1136.100175</x:v>
      </x:c>
      <x:c r="H18" s="8" t="n">
        <x:v>1136.100175</x:v>
      </x:c>
      <x:c r="I18" s="8" t="n">
        <x:v>1136.100175</x:v>
      </x:c>
      <x:c r="J18" s="8" t="n">
        <x:v>1136.100175</x:v>
      </x:c>
      <x:c r="K18" s="8" t="n">
        <x:v>0</x:v>
      </x:c>
      <x:c r="L18" s="4" t="str">
        <x:v>INITIAL_11_CASES</x:v>
      </x:c>
    </x:row>
    <x:row r="19" ht="25" customHeight="1">
      <x:c r="A19" s="4" t="str">
        <x:v>2e79bff2-80e2-4e82-8e04-31e96f8d9ffb</x:v>
      </x:c>
      <x:c r="B19" s="4" t="str">
        <x:v>LIST</x:v>
      </x:c>
      <x:c r="C19" s="4" t="n">
        <x:v>503</x:v>
      </x:c>
      <x:c r="D19" s="4" t="str">
        <x:v>completed_http_ms</x:v>
      </x:c>
      <x:c r="E19" s="4" t="n">
        <x:v>1</x:v>
      </x:c>
      <x:c r="F19" s="8" t="n">
        <x:v>30542.319441</x:v>
      </x:c>
      <x:c r="G19" s="8" t="n">
        <x:v>30542.319441</x:v>
      </x:c>
      <x:c r="H19" s="8" t="n">
        <x:v>30542.319441</x:v>
      </x:c>
      <x:c r="I19" s="8" t="n">
        <x:v>30542.319441</x:v>
      </x:c>
      <x:c r="J19" s="8" t="n">
        <x:v>30542.319441</x:v>
      </x:c>
      <x:c r="K19" s="8" t="n">
        <x:v>0</x:v>
      </x:c>
      <x:c r="L19" s="4" t="str">
        <x:v>INITIAL_11_CASES</x:v>
      </x:c>
    </x:row>
    <x:row r="20" ht="25" customHeight="1">
      <x:c r="A20" s="4" t="str">
        <x:v>2a883cd0-c44a-4288-b496-8d4e71cf680f</x:v>
      </x:c>
      <x:c r="B20" s="4" t="str">
        <x:v>LIST</x:v>
      </x:c>
      <x:c r="C20" s="4" t="n">
        <x:v>200</x:v>
      </x:c>
      <x:c r="D20" s="4" t="str">
        <x:v>completed_http_ms</x:v>
      </x:c>
      <x:c r="E20" s="4" t="n">
        <x:v>2</x:v>
      </x:c>
      <x:c r="F20" s="8" t="n">
        <x:v>979.387127</x:v>
      </x:c>
      <x:c r="G20" s="8" t="n">
        <x:v>979.387127</x:v>
      </x:c>
      <x:c r="H20" s="8" t="n">
        <x:v>1205.1072809</x:v>
      </x:c>
      <x:c r="I20" s="8" t="n">
        <x:v>1225.17129458</x:v>
      </x:c>
      <x:c r="J20" s="8" t="n">
        <x:v>1230.187298</x:v>
      </x:c>
      <x:c r="K20" s="8" t="n">
        <x:v>0</x:v>
      </x:c>
      <x:c r="L20" s="4" t="str">
        <x:v>INITIAL_11_CASES</x:v>
      </x:c>
    </x:row>
    <x:row r="21" ht="25" customHeight="1">
      <x:c r="A21" s="4" t="str">
        <x:v>7c70ac5f-cabb-4ef7-93c0-0e06417208be</x:v>
      </x:c>
      <x:c r="B21" s="4" t="str">
        <x:v>LIST</x:v>
      </x:c>
      <x:c r="C21" s="4" t="n">
        <x:v>500</x:v>
      </x:c>
      <x:c r="D21" s="4" t="str">
        <x:v>completed_http_ms</x:v>
      </x:c>
      <x:c r="E21" s="4" t="n">
        <x:v>2</x:v>
      </x:c>
      <x:c r="F21" s="8" t="n">
        <x:v>558.8968179999999</x:v>
      </x:c>
      <x:c r="G21" s="8" t="n">
        <x:v>558.8968179999999</x:v>
      </x:c>
      <x:c r="H21" s="8" t="n">
        <x:v>563.2112443</x:v>
      </x:c>
      <x:c r="I21" s="8" t="n">
        <x:v>563.59474886</x:v>
      </x:c>
      <x:c r="J21" s="8" t="n">
        <x:v>563.690625</x:v>
      </x:c>
      <x:c r="K21" s="8" t="n">
        <x:v>0</x:v>
      </x:c>
      <x:c r="L21" s="4" t="str">
        <x:v>INITIAL_11_CASES</x:v>
      </x:c>
    </x:row>
    <x:row r="22" ht="25" customHeight="1">
      <x:c r="A22" s="4" t="str">
        <x:v>2e8b541c-3b23-4a80-865a-206dfcc601a9</x:v>
      </x:c>
      <x:c r="B22" s="4" t="str">
        <x:v>LIST</x:v>
      </x:c>
      <x:c r="C22" s="4" t="n">
        <x:v>200</x:v>
      </x:c>
      <x:c r="D22" s="4" t="str">
        <x:v>completed_http_ms</x:v>
      </x:c>
      <x:c r="E22" s="4" t="n">
        <x:v>2</x:v>
      </x:c>
      <x:c r="F22" s="8" t="n">
        <x:v>14469.474545000001</x:v>
      </x:c>
      <x:c r="G22" s="8" t="n">
        <x:v>14469.474545000001</x:v>
      </x:c>
      <x:c r="H22" s="8" t="n">
        <x:v>25643.4230843</x:v>
      </x:c>
      <x:c r="I22" s="8" t="n">
        <x:v>26636.66295446</x:v>
      </x:c>
      <x:c r="J22" s="8" t="n">
        <x:v>26884.972922</x:v>
      </x:c>
      <x:c r="K22" s="8" t="n">
        <x:v>0</x:v>
      </x:c>
      <x:c r="L22" s="4" t="str">
        <x:v>INITIAL_11_CASES</x:v>
      </x:c>
    </x:row>
    <x:row r="23" ht="25" customHeight="1">
      <x:c r="A23" s="4" t="str">
        <x:v>2e8b541c-3b23-4a80-865a-206dfcc601a9</x:v>
      </x:c>
      <x:c r="B23" s="4" t="str">
        <x:v>LIST</x:v>
      </x:c>
      <x:c r="C23" s="4" t="n">
        <x:v>503</x:v>
      </x:c>
      <x:c r="D23" s="4" t="str">
        <x:v>completed_http_ms</x:v>
      </x:c>
      <x:c r="E23" s="4" t="n">
        <x:v>1</x:v>
      </x:c>
      <x:c r="F23" s="8" t="n">
        <x:v>30547.861731</x:v>
      </x:c>
      <x:c r="G23" s="8" t="n">
        <x:v>30547.861731</x:v>
      </x:c>
      <x:c r="H23" s="8" t="n">
        <x:v>30547.861731</x:v>
      </x:c>
      <x:c r="I23" s="8" t="n">
        <x:v>30547.861731</x:v>
      </x:c>
      <x:c r="J23" s="8" t="n">
        <x:v>30547.861731</x:v>
      </x:c>
      <x:c r="K23" s="8" t="n">
        <x:v>0</x:v>
      </x:c>
      <x:c r="L23" s="4" t="str">
        <x:v>INITIAL_11_CASES</x:v>
      </x:c>
    </x:row>
    <x:row r="24" ht="25" customHeight="1">
      <x:c r="A24" s="4" t="str">
        <x:v>73897f1f-b17d-429b-8baa-cc679b273fe2</x:v>
      </x:c>
      <x:c r="B24" s="4" t="str">
        <x:v>CREATE</x:v>
      </x:c>
      <x:c r="C24" s="4" t="n">
        <x:v>201</x:v>
      </x:c>
      <x:c r="D24" s="4" t="str">
        <x:v>completed_http_ms</x:v>
      </x:c>
      <x:c r="E24" s="4" t="n">
        <x:v>1</x:v>
      </x:c>
      <x:c r="F24" s="8" t="n">
        <x:v>1002.19898</x:v>
      </x:c>
      <x:c r="G24" s="8" t="n">
        <x:v>1002.19898</x:v>
      </x:c>
      <x:c r="H24" s="8" t="n">
        <x:v>1002.19898</x:v>
      </x:c>
      <x:c r="I24" s="8" t="n">
        <x:v>1002.19898</x:v>
      </x:c>
      <x:c r="J24" s="8" t="n">
        <x:v>1002.19898</x:v>
      </x:c>
      <x:c r="K24" s="8" t="n">
        <x:v>0</x:v>
      </x:c>
      <x:c r="L24" s="4" t="str">
        <x:v>INITIAL_11_CASES</x:v>
      </x:c>
    </x:row>
    <x:row r="25" ht="25" customHeight="1">
      <x:c r="A25" s="4" t="str">
        <x:v>fa48a462-cfff-4b10-9259-5b1eb2d89365</x:v>
      </x:c>
      <x:c r="B25" s="4" t="str">
        <x:v>CREATE</x:v>
      </x:c>
      <x:c r="C25" s="4" t="n">
        <x:v>201</x:v>
      </x:c>
      <x:c r="D25" s="4" t="str">
        <x:v>completed_http_ms</x:v>
      </x:c>
      <x:c r="E25" s="4" t="n">
        <x:v>1</x:v>
      </x:c>
      <x:c r="F25" s="8" t="n">
        <x:v>655.872182</x:v>
      </x:c>
      <x:c r="G25" s="8" t="n">
        <x:v>655.872182</x:v>
      </x:c>
      <x:c r="H25" s="8" t="n">
        <x:v>655.872182</x:v>
      </x:c>
      <x:c r="I25" s="8" t="n">
        <x:v>655.872182</x:v>
      </x:c>
      <x:c r="J25" s="8" t="n">
        <x:v>655.872182</x:v>
      </x:c>
      <x:c r="K25" s="8" t="n">
        <x:v>0</x:v>
      </x:c>
      <x:c r="L25" s="4" t="str">
        <x:v>INITIAL_11_CASES</x:v>
      </x:c>
    </x:row>
    <x:row r="26" ht="25" customHeight="1">
      <x:c r="A26" s="4" t="str">
        <x:v>fa48a462-cfff-4b10-9259-5b1eb2d89365</x:v>
      </x:c>
      <x:c r="B26" s="4" t="str">
        <x:v>DETAIL</x:v>
      </x:c>
      <x:c r="C26" s="4" t="n">
        <x:v>200</x:v>
      </x:c>
      <x:c r="D26" s="4" t="str">
        <x:v>completed_http_ms</x:v>
      </x:c>
      <x:c r="E26" s="4" t="n">
        <x:v>2</x:v>
      </x:c>
      <x:c r="F26" s="8" t="n">
        <x:v>325.183635</x:v>
      </x:c>
      <x:c r="G26" s="8" t="n">
        <x:v>325.183635</x:v>
      </x:c>
      <x:c r="H26" s="8" t="n">
        <x:v>332.9546346</x:v>
      </x:c>
      <x:c r="I26" s="8" t="n">
        <x:v>333.64539012</x:v>
      </x:c>
      <x:c r="J26" s="8" t="n">
        <x:v>333.818079</x:v>
      </x:c>
      <x:c r="K26" s="8" t="n">
        <x:v>0</x:v>
      </x:c>
      <x:c r="L26" s="4" t="str">
        <x:v>INITIAL_11_CASES</x:v>
      </x:c>
    </x:row>
    <x:row r="27" ht="25" customHeight="1">
      <x:c r="A27" s="4" t="str">
        <x:v>fa48a462-cfff-4b10-9259-5b1eb2d89365</x:v>
      </x:c>
      <x:c r="B27" s="4" t="str">
        <x:v>DETAIL</x:v>
      </x:c>
      <x:c r="C27" s="4" t="str">
        <x:v>REQUEST_TIMEOUT</x:v>
      </x:c>
      <x:c r="D27" s="4" t="str">
        <x:v>interruption_elapsed_ms</x:v>
      </x:c>
      <x:c r="E27" s="4" t="n">
        <x:v>1</x:v>
      </x:c>
      <x:c r="F27" s="8" t="n">
        <x:v>30003.720794</x:v>
      </x:c>
      <x:c r="G27" s="8" t="n">
        <x:v>30003.720794</x:v>
      </x:c>
      <x:c r="H27" s="8" t="n">
        <x:v>30003.720794</x:v>
      </x:c>
      <x:c r="I27" s="8" t="n">
        <x:v>30003.720794</x:v>
      </x:c>
      <x:c r="J27" s="8" t="n">
        <x:v>30003.720794</x:v>
      </x:c>
      <x:c r="K27" s="8" t="n">
        <x:v>0</x:v>
      </x:c>
      <x:c r="L27" s="4" t="str">
        <x:v>INITIAL_11_CASES</x:v>
      </x:c>
    </x:row>
    <x:row r="28" ht="25" customHeight="1">
      <x:c r="A28" s="4" t="str">
        <x:v>6389a638-6cb5-42c5-9cd0-4170c34ed323</x:v>
      </x:c>
      <x:c r="B28" s="4" t="str">
        <x:v>LIST</x:v>
      </x:c>
      <x:c r="C28" s="4" t="n">
        <x:v>200</x:v>
      </x:c>
      <x:c r="D28" s="4" t="str">
        <x:v>completed_http_ms</x:v>
      </x:c>
      <x:c r="E28" s="4" t="n">
        <x:v>2</x:v>
      </x:c>
      <x:c r="F28" s="8" t="n">
        <x:v>13821.038065</x:v>
      </x:c>
      <x:c r="G28" s="8" t="n">
        <x:v>13821.038064999999</x:v>
      </x:c>
      <x:c r="H28" s="8" t="n">
        <x:v>25779.6350965</x:v>
      </x:c>
      <x:c r="I28" s="8" t="n">
        <x:v>26842.6214993</x:v>
      </x:c>
      <x:c r="J28" s="8" t="n">
        <x:v>27108.3681</x:v>
      </x:c>
      <x:c r="K28" s="8" t="n">
        <x:v>1.8189894035458565e-12</x:v>
      </x:c>
      <x:c r="L28" s="4" t="str">
        <x:v>INITIAL_11_CASES</x:v>
      </x:c>
    </x:row>
    <x:row r="29" ht="25" customHeight="1">
      <x:c r="A29" s="4" t="str">
        <x:v>6389a638-6cb5-42c5-9cd0-4170c34ed323</x:v>
      </x:c>
      <x:c r="B29" s="4" t="str">
        <x:v>CREATE</x:v>
      </x:c>
      <x:c r="C29" s="4" t="n">
        <x:v>201</x:v>
      </x:c>
      <x:c r="D29" s="4" t="str">
        <x:v>completed_http_ms</x:v>
      </x:c>
      <x:c r="E29" s="4" t="n">
        <x:v>2</x:v>
      </x:c>
      <x:c r="F29" s="8" t="n">
        <x:v>275.1918245</x:v>
      </x:c>
      <x:c r="G29" s="8" t="n">
        <x:v>275.1918245</x:v>
      </x:c>
      <x:c r="H29" s="8" t="n">
        <x:v>293.67979325</x:v>
      </x:c>
      <x:c r="I29" s="8" t="n">
        <x:v>295.32316825</x:v>
      </x:c>
      <x:c r="J29" s="8" t="n">
        <x:v>295.734012</x:v>
      </x:c>
      <x:c r="K29" s="8" t="n">
        <x:v>0</x:v>
      </x:c>
      <x:c r="L29" s="4" t="str">
        <x:v>INITIAL_11_CASES</x:v>
      </x:c>
    </x:row>
    <x:row r="30" ht="25" customHeight="1">
      <x:c r="A30" s="4" t="str">
        <x:v>da9e2620-c41a-4997-a4eb-9403b35dd6df</x:v>
      </x:c>
      <x:c r="B30" s="4" t="str">
        <x:v>LIST</x:v>
      </x:c>
      <x:c r="C30" s="4" t="n">
        <x:v>200</x:v>
      </x:c>
      <x:c r="D30" s="4" t="str">
        <x:v>completed_http_ms</x:v>
      </x:c>
      <x:c r="E30" s="4" t="n">
        <x:v>1</x:v>
      </x:c>
      <x:c r="F30" s="8" t="n">
        <x:v>780.453178</x:v>
      </x:c>
      <x:c r="G30" s="8" t="n">
        <x:v>780.453178</x:v>
      </x:c>
      <x:c r="H30" s="8" t="n">
        <x:v>780.453178</x:v>
      </x:c>
      <x:c r="I30" s="8" t="n">
        <x:v>780.453178</x:v>
      </x:c>
      <x:c r="J30" s="8" t="n">
        <x:v>780.453178</x:v>
      </x:c>
      <x:c r="K30" s="8" t="n">
        <x:v>0</x:v>
      </x:c>
      <x:c r="L30" s="4" t="str">
        <x:v>INITIAL_11_CASES</x:v>
      </x:c>
    </x:row>
    <x:row r="31" ht="25" customHeight="1">
      <x:c r="A31" s="4" t="str">
        <x:v>da9e2620-c41a-4997-a4eb-9403b35dd6df</x:v>
      </x:c>
      <x:c r="B31" s="4" t="str">
        <x:v>CREATE</x:v>
      </x:c>
      <x:c r="C31" s="4" t="n">
        <x:v>201</x:v>
      </x:c>
      <x:c r="D31" s="4" t="str">
        <x:v>completed_http_ms</x:v>
      </x:c>
      <x:c r="E31" s="4" t="n">
        <x:v>2</x:v>
      </x:c>
      <x:c r="F31" s="8" t="n">
        <x:v>222.2599765</x:v>
      </x:c>
      <x:c r="G31" s="8" t="n">
        <x:v>222.2599765</x:v>
      </x:c>
      <x:c r="H31" s="8" t="n">
        <x:v>230.87319835</x:v>
      </x:c>
      <x:c r="I31" s="8" t="n">
        <x:v>231.63881806999999</x:v>
      </x:c>
      <x:c r="J31" s="8" t="n">
        <x:v>231.830223</x:v>
      </x:c>
      <x:c r="K31" s="8" t="n">
        <x:v>0</x:v>
      </x:c>
      <x:c r="L31" s="4" t="str">
        <x:v>INITIAL_11_CASES</x:v>
      </x:c>
    </x:row>
    <x:row r="32" ht="25" customHeight="1">
      <x:c r="A32" s="4" t="str">
        <x:v>da9e2620-c41a-4997-a4eb-9403b35dd6df</x:v>
      </x:c>
      <x:c r="B32" s="4" t="str">
        <x:v>LIST</x:v>
      </x:c>
      <x:c r="C32" s="4" t="n">
        <x:v>500</x:v>
      </x:c>
      <x:c r="D32" s="4" t="str">
        <x:v>completed_http_ms</x:v>
      </x:c>
      <x:c r="E32" s="4" t="n">
        <x:v>1</x:v>
      </x:c>
      <x:c r="F32" s="8" t="n">
        <x:v>213.199435</x:v>
      </x:c>
      <x:c r="G32" s="8" t="n">
        <x:v>213.199435</x:v>
      </x:c>
      <x:c r="H32" s="8" t="n">
        <x:v>213.199435</x:v>
      </x:c>
      <x:c r="I32" s="8" t="n">
        <x:v>213.199435</x:v>
      </x:c>
      <x:c r="J32" s="8" t="n">
        <x:v>213.199435</x:v>
      </x:c>
      <x:c r="K32" s="8" t="n">
        <x:v>0</x:v>
      </x:c>
      <x:c r="L32" s="4" t="str">
        <x:v>INITIAL_11_CASES</x:v>
      </x:c>
    </x:row>
    <x:row r="33" ht="25" customHeight="1">
      <x:c r="A33" s="4" t="str">
        <x:v>2f8c0183-c5eb-4632-b161-b57c6eb95042</x:v>
      </x:c>
      <x:c r="B33" s="4" t="str">
        <x:v>LIST</x:v>
      </x:c>
      <x:c r="C33" s="4" t="n">
        <x:v>500</x:v>
      </x:c>
      <x:c r="D33" s="4" t="str">
        <x:v>completed_http_ms</x:v>
      </x:c>
      <x:c r="E33" s="4" t="n">
        <x:v>1</x:v>
      </x:c>
      <x:c r="F33" s="8" t="n">
        <x:v>1076.649343</x:v>
      </x:c>
      <x:c r="G33" s="8" t="n">
        <x:v>1076.649343</x:v>
      </x:c>
      <x:c r="H33" s="8" t="n">
        <x:v>1076.649343</x:v>
      </x:c>
      <x:c r="I33" s="8" t="n">
        <x:v>1076.649343</x:v>
      </x:c>
      <x:c r="J33" s="8" t="n">
        <x:v>1076.649343</x:v>
      </x:c>
      <x:c r="K33" s="8" t="n">
        <x:v>0</x:v>
      </x:c>
      <x:c r="L33" s="4" t="str">
        <x:v>INITIAL_11_CASES</x:v>
      </x:c>
    </x:row>
    <x:row r="34" ht="25" customHeight="1">
      <x:c r="A34" s="4" t="str">
        <x:v>d2381c7b-c97b-492c-b233-1838492c46b7</x:v>
      </x:c>
      <x:c r="B34" s="4" t="str">
        <x:v>LIST</x:v>
      </x:c>
      <x:c r="C34" s="4" t="n">
        <x:v>500</x:v>
      </x:c>
      <x:c r="D34" s="4" t="str">
        <x:v>completed_http_ms</x:v>
      </x:c>
      <x:c r="E34" s="4" t="n">
        <x:v>2</x:v>
      </x:c>
      <x:c r="F34" s="8" t="n">
        <x:v>628.62274</x:v>
      </x:c>
      <x:c r="G34" s="8" t="n">
        <x:v>628.62274</x:v>
      </x:c>
      <x:c r="H34" s="8" t="n">
        <x:v>640.5811633000001</x:v>
      </x:c>
      <x:c r="I34" s="8" t="n">
        <x:v>641.6441342600001</x:v>
      </x:c>
      <x:c r="J34" s="8" t="n">
        <x:v>641.909877</x:v>
      </x:c>
      <x:c r="K34" s="8" t="n">
        <x:v>0</x:v>
      </x:c>
      <x:c r="L34" s="4" t="str">
        <x:v>INITIAL_11_CASES</x:v>
      </x:c>
    </x:row>
    <x:row r="35" ht="25" customHeight="1">
      <x:c r="A35" s="4" t="str">
        <x:v>489e33c1-cc4b-4921-a081-350bb185fbd5</x:v>
      </x:c>
      <x:c r="B35" s="4" t="str">
        <x:v>LIST</x:v>
      </x:c>
      <x:c r="C35" s="4" t="n">
        <x:v>500</x:v>
      </x:c>
      <x:c r="D35" s="4" t="str">
        <x:v>completed_http_ms</x:v>
      </x:c>
      <x:c r="E35" s="4" t="n">
        <x:v>3</x:v>
      </x:c>
      <x:c r="F35" s="8" t="n">
        <x:v>728.0980946666667</x:v>
      </x:c>
      <x:c r="G35" s="8" t="n">
        <x:v>639.148874</x:v>
      </x:c>
      <x:c r="H35" s="8" t="n">
        <x:v>898.5022961</x:v>
      </x:c>
      <x:c r="I35" s="8" t="n">
        <x:v>921.55593362</x:v>
      </x:c>
      <x:c r="J35" s="8" t="n">
        <x:v>927.319343</x:v>
      </x:c>
      <x:c r="K35" s="8" t="n">
        <x:v>88.94922066666675</x:v>
      </x:c>
      <x:c r="L35" s="4" t="str">
        <x:v>INITIAL_11_CASES</x:v>
      </x:c>
    </x:row>
    <x:row r="36" ht="25" customHeight="1">
      <x:c r="A36" s="4" t="str">
        <x:v>b3d7fb89-4ca3-4e80-a639-d0b42015a8bb</x:v>
      </x:c>
      <x:c r="B36" s="4" t="str">
        <x:v>LIST</x:v>
      </x:c>
      <x:c r="C36" s="4" t="n">
        <x:v>200</x:v>
      </x:c>
      <x:c r="D36" s="4" t="str">
        <x:v>completed_http_ms</x:v>
      </x:c>
      <x:c r="E36" s="4" t="n">
        <x:v>1</x:v>
      </x:c>
      <x:c r="F36" s="8" t="n">
        <x:v>7961.795426</x:v>
      </x:c>
      <x:c r="G36" s="8" t="n">
        <x:v>7961.795426</x:v>
      </x:c>
      <x:c r="H36" s="8" t="n">
        <x:v>7961.795426</x:v>
      </x:c>
      <x:c r="I36" s="8" t="n">
        <x:v>7961.795426</x:v>
      </x:c>
      <x:c r="J36" s="8" t="n">
        <x:v>7961.795426</x:v>
      </x:c>
      <x:c r="K36" s="8" t="n">
        <x:v>0</x:v>
      </x:c>
      <x:c r="L36" s="4" t="str">
        <x:v>OTHER_EXPLORATORY</x:v>
      </x:c>
    </x:row>
    <x:row r="37" ht="25" customHeight="1">
      <x:c r="A37" s="4" t="str">
        <x:v>b3d7fb89-4ca3-4e80-a639-d0b42015a8bb</x:v>
      </x:c>
      <x:c r="B37" s="4" t="str">
        <x:v>LIST</x:v>
      </x:c>
      <x:c r="C37" s="4" t="n">
        <x:v>500</x:v>
      </x:c>
      <x:c r="D37" s="4" t="str">
        <x:v>completed_http_ms</x:v>
      </x:c>
      <x:c r="E37" s="4" t="n">
        <x:v>1</x:v>
      </x:c>
      <x:c r="F37" s="8" t="n">
        <x:v>241.805062</x:v>
      </x:c>
      <x:c r="G37" s="8" t="n">
        <x:v>241.805062</x:v>
      </x:c>
      <x:c r="H37" s="8" t="n">
        <x:v>241.805062</x:v>
      </x:c>
      <x:c r="I37" s="8" t="n">
        <x:v>241.805062</x:v>
      </x:c>
      <x:c r="J37" s="8" t="n">
        <x:v>241.805062</x:v>
      </x:c>
      <x:c r="K37" s="8" t="n">
        <x:v>0</x:v>
      </x:c>
      <x:c r="L37" s="4" t="str">
        <x:v>OTHER_EXPLORATORY</x:v>
      </x:c>
    </x:row>
    <x:row r="38" ht="25" customHeight="1">
      <x:c r="A38" s="4" t="str">
        <x:v>5a194a1c-824c-41c7-a581-cb9da902ee5f</x:v>
      </x:c>
      <x:c r="B38" s="4" t="str">
        <x:v>LIST</x:v>
      </x:c>
      <x:c r="C38" s="4" t="str">
        <x:v>REQUEST_TIMEOUT</x:v>
      </x:c>
      <x:c r="D38" s="4" t="str">
        <x:v>interruption_elapsed_ms</x:v>
      </x:c>
      <x:c r="E38" s="4" t="n">
        <x:v>1</x:v>
      </x:c>
      <x:c r="F38" s="8" t="n">
        <x:v>30002.254053</x:v>
      </x:c>
      <x:c r="G38" s="8" t="n">
        <x:v>30002.254053</x:v>
      </x:c>
      <x:c r="H38" s="8" t="n">
        <x:v>30002.254053</x:v>
      </x:c>
      <x:c r="I38" s="8" t="n">
        <x:v>30002.254053</x:v>
      </x:c>
      <x:c r="J38" s="8" t="n">
        <x:v>30002.254053</x:v>
      </x:c>
      <x:c r="K38" s="8" t="n">
        <x:v>0</x:v>
      </x:c>
      <x:c r="L38" s="4" t="str">
        <x:v>OTHER_EXPLORATORY</x:v>
      </x:c>
    </x:row>
    <x:row r="39" ht="25" customHeight="1">
      <x:c r="A39" s="4" t="str">
        <x:v>4bfb484c-0b9d-4515-91d7-5f11b9c9cda1</x:v>
      </x:c>
      <x:c r="B39" s="4" t="str">
        <x:v>LIST</x:v>
      </x:c>
      <x:c r="C39" s="4" t="n">
        <x:v>500</x:v>
      </x:c>
      <x:c r="D39" s="4" t="str">
        <x:v>completed_http_ms</x:v>
      </x:c>
      <x:c r="E39" s="4" t="n">
        <x:v>1</x:v>
      </x:c>
      <x:c r="F39" s="8" t="n">
        <x:v>1255.90744</x:v>
      </x:c>
      <x:c r="G39" s="8" t="n">
        <x:v>1255.90744</x:v>
      </x:c>
      <x:c r="H39" s="8" t="n">
        <x:v>1255.90744</x:v>
      </x:c>
      <x:c r="I39" s="8" t="n">
        <x:v>1255.90744</x:v>
      </x:c>
      <x:c r="J39" s="8" t="n">
        <x:v>1255.90744</x:v>
      </x:c>
      <x:c r="K39" s="8" t="n">
        <x:v>0</x:v>
      </x:c>
      <x:c r="L39" s="4" t="str">
        <x:v>OTHER_EXPLORATORY</x:v>
      </x:c>
    </x:row>
    <x:row r="40" ht="25" customHeight="1">
      <x:c r="A40" s="4" t="str">
        <x:v>3f350177-709e-4394-aa6a-4d129c56dedd</x:v>
      </x:c>
      <x:c r="B40" s="4" t="str">
        <x:v>LIST</x:v>
      </x:c>
      <x:c r="C40" s="4" t="n">
        <x:v>503</x:v>
      </x:c>
      <x:c r="D40" s="4" t="str">
        <x:v>completed_http_ms</x:v>
      </x:c>
      <x:c r="E40" s="4" t="n">
        <x:v>1</x:v>
      </x:c>
      <x:c r="F40" s="8" t="n">
        <x:v>1282.481754</x:v>
      </x:c>
      <x:c r="G40" s="8" t="n">
        <x:v>1282.481754</x:v>
      </x:c>
      <x:c r="H40" s="8" t="n">
        <x:v>1282.481754</x:v>
      </x:c>
      <x:c r="I40" s="8" t="n">
        <x:v>1282.481754</x:v>
      </x:c>
      <x:c r="J40" s="8" t="n">
        <x:v>1282.481754</x:v>
      </x:c>
      <x:c r="K40" s="8" t="n">
        <x:v>0</x:v>
      </x:c>
      <x:c r="L40" s="4" t="str">
        <x:v>OTHER_EXPLORATORY</x:v>
      </x:c>
    </x:row>
    <x:row r="41" ht="25" customHeight="1">
      <x:c r="A41" s="4" t="str">
        <x:v>f0acb2f8-e05e-40f6-814e-3e3f8ebfdb73</x:v>
      </x:c>
      <x:c r="B41" s="4" t="str">
        <x:v>LIST</x:v>
      </x:c>
      <x:c r="C41" s="4" t="n">
        <x:v>500</x:v>
      </x:c>
      <x:c r="D41" s="4" t="str">
        <x:v>completed_http_ms</x:v>
      </x:c>
      <x:c r="E41" s="4" t="n">
        <x:v>1</x:v>
      </x:c>
      <x:c r="F41" s="8" t="n">
        <x:v>855.581419</x:v>
      </x:c>
      <x:c r="G41" s="8" t="n">
        <x:v>855.581419</x:v>
      </x:c>
      <x:c r="H41" s="8" t="n">
        <x:v>855.581419</x:v>
      </x:c>
      <x:c r="I41" s="8" t="n">
        <x:v>855.581419</x:v>
      </x:c>
      <x:c r="J41" s="8" t="n">
        <x:v>855.581419</x:v>
      </x:c>
      <x:c r="K41" s="8" t="n">
        <x:v>0</x:v>
      </x:c>
      <x:c r="L41" s="4" t="str">
        <x:v>OTHER_EXPLORATORY</x:v>
      </x:c>
    </x:row>
    <x:row r="42" ht="25" customHeight="1">
      <x:c r="A42" s="4" t="str">
        <x:v>af283831-9960-4b48-a7ca-612720d4e20f</x:v>
      </x:c>
      <x:c r="B42" s="4" t="str">
        <x:v>LIST</x:v>
      </x:c>
      <x:c r="C42" s="4" t="n">
        <x:v>503</x:v>
      </x:c>
      <x:c r="D42" s="4" t="str">
        <x:v>completed_http_ms</x:v>
      </x:c>
      <x:c r="E42" s="4" t="n">
        <x:v>1</x:v>
      </x:c>
      <x:c r="F42" s="8" t="n">
        <x:v>1287.312665</x:v>
      </x:c>
      <x:c r="G42" s="8" t="n">
        <x:v>1287.312665</x:v>
      </x:c>
      <x:c r="H42" s="8" t="n">
        <x:v>1287.312665</x:v>
      </x:c>
      <x:c r="I42" s="8" t="n">
        <x:v>1287.312665</x:v>
      </x:c>
      <x:c r="J42" s="8" t="n">
        <x:v>1287.312665</x:v>
      </x:c>
      <x:c r="K42" s="8" t="n">
        <x:v>0</x:v>
      </x:c>
      <x:c r="L42" s="4" t="str">
        <x:v>FOLLOWUP_130_HTTP</x:v>
      </x:c>
    </x:row>
    <x:row r="43" ht="25" customHeight="1">
      <x:c r="A43" s="4" t="str">
        <x:v>9a1de23e-044b-49f9-aba4-6dc2e60323b9</x:v>
      </x:c>
      <x:c r="B43" s="4" t="str">
        <x:v>LIST</x:v>
      </x:c>
      <x:c r="C43" s="4" t="n">
        <x:v>200</x:v>
      </x:c>
      <x:c r="D43" s="4" t="str">
        <x:v>completed_http_ms</x:v>
      </x:c>
      <x:c r="E43" s="4" t="n">
        <x:v>1</x:v>
      </x:c>
      <x:c r="F43" s="8" t="n">
        <x:v>26891.230167</x:v>
      </x:c>
      <x:c r="G43" s="8" t="n">
        <x:v>26891.230167</x:v>
      </x:c>
      <x:c r="H43" s="8" t="n">
        <x:v>26891.230167</x:v>
      </x:c>
      <x:c r="I43" s="8" t="n">
        <x:v>26891.230167</x:v>
      </x:c>
      <x:c r="J43" s="8" t="n">
        <x:v>26891.230167</x:v>
      </x:c>
      <x:c r="K43" s="8" t="n">
        <x:v>0</x:v>
      </x:c>
      <x:c r="L43" s="4" t="str">
        <x:v>FOLLOWUP_130_HTTP</x:v>
      </x:c>
    </x:row>
    <x:row r="44" ht="25" customHeight="1">
      <x:c r="A44" s="4" t="str">
        <x:v>36a7e27c-3067-4620-a8db-e0690228ff33</x:v>
      </x:c>
      <x:c r="B44" s="4" t="str">
        <x:v>LIST</x:v>
      </x:c>
      <x:c r="C44" s="4" t="str">
        <x:v>REQUEST_TIMEOUT</x:v>
      </x:c>
      <x:c r="D44" s="4" t="str">
        <x:v>interruption_elapsed_ms</x:v>
      </x:c>
      <x:c r="E44" s="4" t="n">
        <x:v>1</x:v>
      </x:c>
      <x:c r="F44" s="8" t="n">
        <x:v>30001.970011</x:v>
      </x:c>
      <x:c r="G44" s="8" t="n">
        <x:v>30001.970011</x:v>
      </x:c>
      <x:c r="H44" s="8" t="n">
        <x:v>30001.970011</x:v>
      </x:c>
      <x:c r="I44" s="8" t="n">
        <x:v>30001.970011</x:v>
      </x:c>
      <x:c r="J44" s="8" t="n">
        <x:v>30001.970011</x:v>
      </x:c>
      <x:c r="K44" s="8" t="n">
        <x:v>0</x:v>
      </x:c>
      <x:c r="L44" s="4" t="str">
        <x:v>FOLLOWUP_130_HTTP</x:v>
      </x:c>
    </x:row>
    <x:row r="45" ht="25" customHeight="1">
      <x:c r="A45" s="4" t="str">
        <x:v>fa596d81-c243-483c-bf12-8df0a40f2ea1</x:v>
      </x:c>
      <x:c r="B45" s="4" t="str">
        <x:v>LIST</x:v>
      </x:c>
      <x:c r="C45" s="4" t="n">
        <x:v>200</x:v>
      </x:c>
      <x:c r="D45" s="4" t="str">
        <x:v>completed_http_ms</x:v>
      </x:c>
      <x:c r="E45" s="4" t="n">
        <x:v>1</x:v>
      </x:c>
      <x:c r="F45" s="8" t="n">
        <x:v>17431.487845</x:v>
      </x:c>
      <x:c r="G45" s="8" t="n">
        <x:v>17431.487845</x:v>
      </x:c>
      <x:c r="H45" s="8" t="n">
        <x:v>17431.487845</x:v>
      </x:c>
      <x:c r="I45" s="8" t="n">
        <x:v>17431.487845</x:v>
      </x:c>
      <x:c r="J45" s="8" t="n">
        <x:v>17431.487845</x:v>
      </x:c>
      <x:c r="K45" s="8" t="n">
        <x:v>0</x:v>
      </x:c>
      <x:c r="L45" s="4" t="str">
        <x:v>FOLLOWUP_130_HTTP</x:v>
      </x:c>
    </x:row>
    <x:row r="46" ht="25" customHeight="1">
      <x:c r="A46" s="4" t="str">
        <x:v>00fcd3c4-ce33-448b-a1c3-c5b8617139a3</x:v>
      </x:c>
      <x:c r="B46" s="4" t="str">
        <x:v>LIST</x:v>
      </x:c>
      <x:c r="C46" s="4" t="n">
        <x:v>503</x:v>
      </x:c>
      <x:c r="D46" s="4" t="str">
        <x:v>completed_http_ms</x:v>
      </x:c>
      <x:c r="E46" s="4" t="n">
        <x:v>1</x:v>
      </x:c>
      <x:c r="F46" s="8" t="n">
        <x:v>576.204268</x:v>
      </x:c>
      <x:c r="G46" s="8" t="n">
        <x:v>576.204268</x:v>
      </x:c>
      <x:c r="H46" s="8" t="n">
        <x:v>576.204268</x:v>
      </x:c>
      <x:c r="I46" s="8" t="n">
        <x:v>576.204268</x:v>
      </x:c>
      <x:c r="J46" s="8" t="n">
        <x:v>576.204268</x:v>
      </x:c>
      <x:c r="K46" s="8" t="n">
        <x:v>0</x:v>
      </x:c>
      <x:c r="L46" s="4" t="str">
        <x:v>FOLLOWUP_130_HTTP</x:v>
      </x:c>
    </x:row>
    <x:row r="47" ht="25" customHeight="1">
      <x:c r="A47" s="4" t="str">
        <x:v>4ff4f593-c904-4916-a2da-937217b90c98</x:v>
      </x:c>
      <x:c r="B47" s="4" t="str">
        <x:v>CREATE</x:v>
      </x:c>
      <x:c r="C47" s="4" t="n">
        <x:v>201</x:v>
      </x:c>
      <x:c r="D47" s="4" t="str">
        <x:v>completed_http_ms</x:v>
      </x:c>
      <x:c r="E47" s="4" t="n">
        <x:v>1</x:v>
      </x:c>
      <x:c r="F47" s="8" t="n">
        <x:v>803.611001</x:v>
      </x:c>
      <x:c r="G47" s="8" t="n">
        <x:v>803.611001</x:v>
      </x:c>
      <x:c r="H47" s="8" t="n">
        <x:v>803.611001</x:v>
      </x:c>
      <x:c r="I47" s="8" t="n">
        <x:v>803.611001</x:v>
      </x:c>
      <x:c r="J47" s="8" t="n">
        <x:v>803.611001</x:v>
      </x:c>
      <x:c r="K47" s="8" t="n">
        <x:v>0</x:v>
      </x:c>
      <x:c r="L47" s="4" t="str">
        <x:v>FOLLOWUP_130_HTTP</x:v>
      </x:c>
    </x:row>
    <x:row r="48" ht="25" customHeight="1">
      <x:c r="A48" s="4" t="str">
        <x:v>4ff4f593-c904-4916-a2da-937217b90c98</x:v>
      </x:c>
      <x:c r="B48" s="4" t="str">
        <x:v>DETAIL</x:v>
      </x:c>
      <x:c r="C48" s="4" t="str">
        <x:v>REQUEST_TIMEOUT</x:v>
      </x:c>
      <x:c r="D48" s="4" t="str">
        <x:v>interruption_elapsed_ms</x:v>
      </x:c>
      <x:c r="E48" s="4" t="n">
        <x:v>1</x:v>
      </x:c>
      <x:c r="F48" s="8" t="n">
        <x:v>30001.117693</x:v>
      </x:c>
      <x:c r="G48" s="8" t="n">
        <x:v>30001.117693</x:v>
      </x:c>
      <x:c r="H48" s="8" t="n">
        <x:v>30001.117693</x:v>
      </x:c>
      <x:c r="I48" s="8" t="n">
        <x:v>30001.117693</x:v>
      </x:c>
      <x:c r="J48" s="8" t="n">
        <x:v>30001.117693</x:v>
      </x:c>
      <x:c r="K48" s="8" t="n">
        <x:v>0</x:v>
      </x:c>
      <x:c r="L48" s="4" t="str">
        <x:v>FOLLOWUP_130_HTTP</x:v>
      </x:c>
    </x:row>
    <x:row r="49" ht="25" customHeight="1">
      <x:c r="A49" s="4" t="str">
        <x:v>a42e5d55-0aa3-4a75-9f70-418a803de39d</x:v>
      </x:c>
      <x:c r="B49" s="4" t="str">
        <x:v>CREATE</x:v>
      </x:c>
      <x:c r="C49" s="4" t="n">
        <x:v>201</x:v>
      </x:c>
      <x:c r="D49" s="4" t="str">
        <x:v>completed_http_ms</x:v>
      </x:c>
      <x:c r="E49" s="4" t="n">
        <x:v>1</x:v>
      </x:c>
      <x:c r="F49" s="8" t="n">
        <x:v>653.08271</x:v>
      </x:c>
      <x:c r="G49" s="8" t="n">
        <x:v>653.08271</x:v>
      </x:c>
      <x:c r="H49" s="8" t="n">
        <x:v>653.08271</x:v>
      </x:c>
      <x:c r="I49" s="8" t="n">
        <x:v>653.08271</x:v>
      </x:c>
      <x:c r="J49" s="8" t="n">
        <x:v>653.08271</x:v>
      </x:c>
      <x:c r="K49" s="8" t="n">
        <x:v>0</x:v>
      </x:c>
      <x:c r="L49" s="4" t="str">
        <x:v>FOLLOWUP_130_HTTP</x:v>
      </x:c>
    </x:row>
    <x:row r="50" ht="25" customHeight="1">
      <x:c r="A50" s="4" t="str">
        <x:v>a42e5d55-0aa3-4a75-9f70-418a803de39d</x:v>
      </x:c>
      <x:c r="B50" s="4" t="str">
        <x:v>DETAIL</x:v>
      </x:c>
      <x:c r="C50" s="4" t="n">
        <x:v>500</x:v>
      </x:c>
      <x:c r="D50" s="4" t="str">
        <x:v>completed_http_ms</x:v>
      </x:c>
      <x:c r="E50" s="4" t="n">
        <x:v>1</x:v>
      </x:c>
      <x:c r="F50" s="8" t="n">
        <x:v>229.141253</x:v>
      </x:c>
      <x:c r="G50" s="8" t="n">
        <x:v>229.141253</x:v>
      </x:c>
      <x:c r="H50" s="8" t="n">
        <x:v>229.141253</x:v>
      </x:c>
      <x:c r="I50" s="8" t="n">
        <x:v>229.141253</x:v>
      </x:c>
      <x:c r="J50" s="8" t="n">
        <x:v>229.141253</x:v>
      </x:c>
      <x:c r="K50" s="8" t="n">
        <x:v>0</x:v>
      </x:c>
      <x:c r="L50" s="4" t="str">
        <x:v>FOLLOWUP_130_HTTP</x:v>
      </x:c>
    </x:row>
    <x:row r="51" ht="25" customHeight="1">
      <x:c r="A51" s="4" t="str">
        <x:v>e67172ec-09be-4ea8-8f90-6d410aebdce5</x:v>
      </x:c>
      <x:c r="B51" s="4" t="str">
        <x:v>LIST</x:v>
      </x:c>
      <x:c r="C51" s="4" t="n">
        <x:v>500</x:v>
      </x:c>
      <x:c r="D51" s="4" t="str">
        <x:v>completed_http_ms</x:v>
      </x:c>
      <x:c r="E51" s="4" t="n">
        <x:v>1</x:v>
      </x:c>
      <x:c r="F51" s="8" t="n">
        <x:v>1176.785131</x:v>
      </x:c>
      <x:c r="G51" s="8" t="n">
        <x:v>1176.785131</x:v>
      </x:c>
      <x:c r="H51" s="8" t="n">
        <x:v>1176.785131</x:v>
      </x:c>
      <x:c r="I51" s="8" t="n">
        <x:v>1176.785131</x:v>
      </x:c>
      <x:c r="J51" s="8" t="n">
        <x:v>1176.785131</x:v>
      </x:c>
      <x:c r="K51" s="8" t="n">
        <x:v>0</x:v>
      </x:c>
      <x:c r="L51" s="4" t="str">
        <x:v>FOLLOWUP_130_HTTP</x:v>
      </x:c>
    </x:row>
    <x:row r="52" ht="25" customHeight="1">
      <x:c r="A52" s="4" t="str">
        <x:v>8c014f8a-8e13-4d71-98d3-9ce96cbe978f</x:v>
      </x:c>
      <x:c r="B52" s="4" t="str">
        <x:v>LIST</x:v>
      </x:c>
      <x:c r="C52" s="4" t="n">
        <x:v>503</x:v>
      </x:c>
      <x:c r="D52" s="4" t="str">
        <x:v>completed_http_ms</x:v>
      </x:c>
      <x:c r="E52" s="4" t="n">
        <x:v>1</x:v>
      </x:c>
      <x:c r="F52" s="8" t="n">
        <x:v>1385.699654</x:v>
      </x:c>
      <x:c r="G52" s="8" t="n">
        <x:v>1385.699654</x:v>
      </x:c>
      <x:c r="H52" s="8" t="n">
        <x:v>1385.699654</x:v>
      </x:c>
      <x:c r="I52" s="8" t="n">
        <x:v>1385.699654</x:v>
      </x:c>
      <x:c r="J52" s="8" t="n">
        <x:v>1385.699654</x:v>
      </x:c>
      <x:c r="K52" s="8" t="n">
        <x:v>0</x:v>
      </x:c>
      <x:c r="L52" s="4" t="str">
        <x:v>FOLLOWUP_130_HTTP</x:v>
      </x:c>
    </x:row>
    <x:row r="53" ht="25" customHeight="1">
      <x:c r="A53" s="4" t="str">
        <x:v>c4e7adbc-a862-4e9a-911f-fd4821d87ec7</x:v>
      </x:c>
      <x:c r="B53" s="4" t="str">
        <x:v>LIST</x:v>
      </x:c>
      <x:c r="C53" s="4" t="n">
        <x:v>503</x:v>
      </x:c>
      <x:c r="D53" s="4" t="str">
        <x:v>completed_http_ms</x:v>
      </x:c>
      <x:c r="E53" s="4" t="n">
        <x:v>1</x:v>
      </x:c>
      <x:c r="F53" s="8" t="n">
        <x:v>1481.397284</x:v>
      </x:c>
      <x:c r="G53" s="8" t="n">
        <x:v>1481.397284</x:v>
      </x:c>
      <x:c r="H53" s="8" t="n">
        <x:v>1481.397284</x:v>
      </x:c>
      <x:c r="I53" s="8" t="n">
        <x:v>1481.397284</x:v>
      </x:c>
      <x:c r="J53" s="8" t="n">
        <x:v>1481.397284</x:v>
      </x:c>
      <x:c r="K53" s="8" t="n">
        <x:v>0</x:v>
      </x:c>
      <x:c r="L53" s="4" t="str">
        <x:v>FOLLOWUP_130_HTTP</x:v>
      </x:c>
    </x:row>
    <x:row r="54" ht="25" customHeight="1">
      <x:c r="A54" s="4" t="str">
        <x:v>c4e7adbc-a862-4e9a-911f-fd4821d87ec7</x:v>
      </x:c>
      <x:c r="B54" s="4" t="str">
        <x:v>LIST</x:v>
      </x:c>
      <x:c r="C54" s="4" t="n">
        <x:v>500</x:v>
      </x:c>
      <x:c r="D54" s="4" t="str">
        <x:v>completed_http_ms</x:v>
      </x:c>
      <x:c r="E54" s="4" t="n">
        <x:v>1</x:v>
      </x:c>
      <x:c r="F54" s="8" t="n">
        <x:v>652.601091</x:v>
      </x:c>
      <x:c r="G54" s="8" t="n">
        <x:v>652.601091</x:v>
      </x:c>
      <x:c r="H54" s="8" t="n">
        <x:v>652.601091</x:v>
      </x:c>
      <x:c r="I54" s="8" t="n">
        <x:v>652.601091</x:v>
      </x:c>
      <x:c r="J54" s="8" t="n">
        <x:v>652.601091</x:v>
      </x:c>
      <x:c r="K54" s="8" t="n">
        <x:v>0</x:v>
      </x:c>
      <x:c r="L54" s="4" t="str">
        <x:v>FOLLOWUP_130_HTTP</x:v>
      </x:c>
    </x:row>
    <x:row r="55" ht="25" customHeight="1">
      <x:c r="A55" s="4" t="str">
        <x:v>0f2532a0-73c0-43ea-b9a1-d7a49afe4562</x:v>
      </x:c>
      <x:c r="B55" s="4" t="str">
        <x:v>LIST</x:v>
      </x:c>
      <x:c r="C55" s="4" t="n">
        <x:v>200</x:v>
      </x:c>
      <x:c r="D55" s="4" t="str">
        <x:v>completed_http_ms</x:v>
      </x:c>
      <x:c r="E55" s="4" t="n">
        <x:v>1</x:v>
      </x:c>
      <x:c r="F55" s="8" t="n">
        <x:v>2481.560618</x:v>
      </x:c>
      <x:c r="G55" s="8" t="n">
        <x:v>2481.560618</x:v>
      </x:c>
      <x:c r="H55" s="8" t="n">
        <x:v>2481.560618</x:v>
      </x:c>
      <x:c r="I55" s="8" t="n">
        <x:v>2481.560618</x:v>
      </x:c>
      <x:c r="J55" s="8" t="n">
        <x:v>2481.560618</x:v>
      </x:c>
      <x:c r="K55" s="8" t="n">
        <x:v>0</x:v>
      </x:c>
      <x:c r="L55" s="4" t="str">
        <x:v>FOLLOWUP_130_HTTP</x:v>
      </x:c>
    </x:row>
    <x:row r="56" ht="25" customHeight="1">
      <x:c r="A56" s="4" t="str">
        <x:v>d58d979a-5b67-4643-aad1-41f87602f647</x:v>
      </x:c>
      <x:c r="B56" s="4" t="str">
        <x:v>LIST</x:v>
      </x:c>
      <x:c r="C56" s="4" t="n">
        <x:v>500</x:v>
      </x:c>
      <x:c r="D56" s="4" t="str">
        <x:v>completed_http_ms</x:v>
      </x:c>
      <x:c r="E56" s="4" t="n">
        <x:v>1</x:v>
      </x:c>
      <x:c r="F56" s="8" t="n">
        <x:v>623.103434</x:v>
      </x:c>
      <x:c r="G56" s="8" t="n">
        <x:v>623.103434</x:v>
      </x:c>
      <x:c r="H56" s="8" t="n">
        <x:v>623.103434</x:v>
      </x:c>
      <x:c r="I56" s="8" t="n">
        <x:v>623.103434</x:v>
      </x:c>
      <x:c r="J56" s="8" t="n">
        <x:v>623.103434</x:v>
      </x:c>
      <x:c r="K56" s="8" t="n">
        <x:v>0</x:v>
      </x:c>
      <x:c r="L56" s="4" t="str">
        <x:v>FOLLOWUP_130_HTTP</x:v>
      </x:c>
    </x:row>
    <x:row r="57" ht="25" customHeight="1">
      <x:c r="A57" s="4" t="str">
        <x:v>ccc9290e-06c6-4f9c-9c76-e409eb068e4d</x:v>
      </x:c>
      <x:c r="B57" s="4" t="str">
        <x:v>LIST</x:v>
      </x:c>
      <x:c r="C57" s="4" t="n">
        <x:v>200</x:v>
      </x:c>
      <x:c r="D57" s="4" t="str">
        <x:v>completed_http_ms</x:v>
      </x:c>
      <x:c r="E57" s="4" t="n">
        <x:v>2</x:v>
      </x:c>
      <x:c r="F57" s="8" t="n">
        <x:v>15180.328348</x:v>
      </x:c>
      <x:c r="G57" s="8" t="n">
        <x:v>15180.328348</x:v>
      </x:c>
      <x:c r="H57" s="8" t="n">
        <x:v>15369.114742</x:v>
      </x:c>
      <x:c r="I57" s="8" t="n">
        <x:v>15385.8957548</x:v>
      </x:c>
      <x:c r="J57" s="8" t="n">
        <x:v>15390.091008</x:v>
      </x:c>
      <x:c r="K57" s="8" t="n">
        <x:v>0</x:v>
      </x:c>
      <x:c r="L57" s="4" t="str">
        <x:v>FOLLOWUP_130_HTTP</x:v>
      </x:c>
    </x:row>
    <x:row r="58" ht="25" customHeight="1">
      <x:c r="A58" s="4" t="str">
        <x:v>ccc9290e-06c6-4f9c-9c76-e409eb068e4d</x:v>
      </x:c>
      <x:c r="B58" s="4" t="str">
        <x:v>LIST</x:v>
      </x:c>
      <x:c r="C58" s="4" t="n">
        <x:v>503</x:v>
      </x:c>
      <x:c r="D58" s="4" t="str">
        <x:v>completed_http_ms</x:v>
      </x:c>
      <x:c r="E58" s="4" t="n">
        <x:v>1</x:v>
      </x:c>
      <x:c r="F58" s="8" t="n">
        <x:v>218.234213</x:v>
      </x:c>
      <x:c r="G58" s="8" t="n">
        <x:v>218.234213</x:v>
      </x:c>
      <x:c r="H58" s="8" t="n">
        <x:v>218.234213</x:v>
      </x:c>
      <x:c r="I58" s="8" t="n">
        <x:v>218.234213</x:v>
      </x:c>
      <x:c r="J58" s="8" t="n">
        <x:v>218.234213</x:v>
      </x:c>
      <x:c r="K58" s="8" t="n">
        <x:v>0</x:v>
      </x:c>
      <x:c r="L58" s="4" t="str">
        <x:v>FOLLOWUP_130_HTTP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27" hidden="0" customWidth="1"/>
    <x:col min="3" max="3" width="10" hidden="0" customWidth="1"/>
    <x:col min="4" max="4" width="15" hidden="0" customWidth="1"/>
    <x:col min="5" max="5" width="22" hidden="0" customWidth="1"/>
    <x:col min="6" max="6" width="10" hidden="0" customWidth="1"/>
    <x:col min="7" max="7" width="18" hidden="0" customWidth="1"/>
    <x:col min="8" max="8" width="15" hidden="0" customWidth="1"/>
    <x:col min="9" max="9" width="19" hidden="0" customWidth="1"/>
    <x:col min="10" max="10" width="12" hidden="0" customWidth="1"/>
    <x:col min="11" max="11" width="15" hidden="0" customWidth="1"/>
    <x:col min="12" max="12" width="15" hidden="0" customWidth="1"/>
    <x:col min="13" max="13" width="19" hidden="0" customWidth="1"/>
    <x:col min="14" max="14" width="19" hidden="0" customWidth="1"/>
    <x:col min="15" max="15" width="19" hidden="0" customWidth="1"/>
    <x:col min="16" max="16" width="45" hidden="0" customWidth="1"/>
    <x:col min="17" max="17" width="45" hidden="0" customWidth="1"/>
    <x:col min="18" max="18" width="42" hidden="0" customWidth="1"/>
  </x:cols>
  <x:sheetData>
    <x:row r="2" ht="25" customHeight="1">
      <x:c r="A2" s="2" t="str">
        <x:v>Attempts</x:v>
      </x:c>
    </x:row>
    <x:row r="5" ht="32" customHeight="1">
      <x:c r="A5" s="7" t="str">
        <x:v>run ID</x:v>
      </x:c>
      <x:c r="B5" s="7" t="str">
        <x:v>구분</x:v>
      </x:c>
      <x:c r="C5" s="7" t="str">
        <x:v>순서</x:v>
      </x:c>
      <x:c r="D5" s="7" t="str">
        <x:v>Endpoint</x:v>
      </x:c>
      <x:c r="E5" s="7" t="str">
        <x:v>전송 결과</x:v>
      </x:c>
      <x:c r="F5" s="7" t="str">
        <x:v>HTTP</x:v>
      </x:c>
      <x:c r="G5" s="7" t="str">
        <x:v>경과 ms</x:v>
      </x:c>
      <x:c r="H5" s="7" t="str">
        <x:v>큐 ms</x:v>
      </x:c>
      <x:c r="I5" s="7" t="str">
        <x:v>요청 제한 ms</x:v>
      </x:c>
      <x:c r="J5" s="7" t="str">
        <x:v>동시성</x:v>
      </x:c>
      <x:c r="K5" s="7" t="str">
        <x:v>retry index</x:v>
      </x:c>
      <x:c r="L5" s="7" t="str">
        <x:v>묶음 크기</x:v>
      </x:c>
      <x:c r="M5" s="7" t="str">
        <x:v>헤더 대기 ms</x:v>
      </x:c>
      <x:c r="N5" s="7" t="str">
        <x:v>본문 대기 ms</x:v>
      </x:c>
      <x:c r="O5" s="7" t="str">
        <x:v>계약 issue n</x:v>
      </x:c>
      <x:c r="P5" s="7" t="str">
        <x:v>시작 UTC</x:v>
      </x:c>
      <x:c r="Q5" s="7" t="str">
        <x:v>종료 UTC</x:v>
      </x:c>
      <x:c r="R5" s="7" t="str">
        <x:v>리비전</x:v>
      </x:c>
    </x:row>
    <x:row r="6" ht="25" customHeight="1">
      <x:c r="A6" s="4" t="str">
        <x:v>e83392ee-b8f9-4f29-bf31-4e4032154ff1</x:v>
      </x:c>
      <x:c r="B6" s="4" t="str">
        <x:v>OTHER_EXPLORATORY</x:v>
      </x:c>
      <x:c r="C6" s="4" t="n">
        <x:v>1</x:v>
      </x:c>
      <x:c r="D6" s="4" t="str">
        <x:v>LIST</x:v>
      </x:c>
      <x:c r="E6" s="4" t="str">
        <x:v>REQUEST_TIMEOUT</x:v>
      </x:c>
      <x:c r="F6" s="4"/>
      <x:c r="G6" s="8" t="n">
        <x:v>10003.931728</x:v>
      </x:c>
      <x:c r="H6" s="8" t="n">
        <x:v>1.19233</x:v>
      </x:c>
      <x:c r="I6" s="8" t="n">
        <x:v>10000</x:v>
      </x:c>
      <x:c r="J6" s="4" t="n">
        <x:v>1</x:v>
      </x:c>
      <x:c r="K6" s="4" t="n">
        <x:v>0</x:v>
      </x:c>
      <x:c r="L6" s="4"/>
      <x:c r="M6" s="4"/>
      <x:c r="N6" s="4"/>
      <x:c r="O6" s="4" t="n">
        <x:v>0</x:v>
      </x:c>
      <x:c r="P6" s="4" t="str">
        <x:v>UTC 2026-10-11T06:33:53.742443684Z</x:v>
      </x:c>
      <x:c r="Q6" s="4" t="str">
        <x:v>UTC 2026-10-11T06:34:03.746383272Z</x:v>
      </x:c>
      <x:c r="R6" s="4" t="str">
        <x:v>cc326e8d5f18ea12b5b9f9514878a8dd9505622a</x:v>
      </x:c>
    </x:row>
    <x:row r="7" ht="25" customHeight="1">
      <x:c r="A7" s="4" t="str">
        <x:v>f70323f3-2b6b-4d72-9f7a-a9bf31d23557</x:v>
      </x:c>
      <x:c r="B7" s="4" t="str">
        <x:v>OTHER_EXPLORATORY</x:v>
      </x:c>
      <x:c r="C7" s="4" t="n">
        <x:v>1</x:v>
      </x:c>
      <x:c r="D7" s="4" t="str">
        <x:v>LIST</x:v>
      </x:c>
      <x:c r="E7" s="4" t="str">
        <x:v>REQUEST_TIMEOUT</x:v>
      </x:c>
      <x:c r="F7" s="4"/>
      <x:c r="G7" s="8" t="n">
        <x:v>30004.22323</x:v>
      </x:c>
      <x:c r="H7" s="8" t="n">
        <x:v>1.165557</x:v>
      </x:c>
      <x:c r="I7" s="8" t="n">
        <x:v>30000</x:v>
      </x:c>
      <x:c r="J7" s="4" t="n">
        <x:v>1</x:v>
      </x:c>
      <x:c r="K7" s="4" t="n">
        <x:v>0</x:v>
      </x:c>
      <x:c r="L7" s="4"/>
      <x:c r="M7" s="4"/>
      <x:c r="N7" s="4"/>
      <x:c r="O7" s="4" t="n">
        <x:v>0</x:v>
      </x:c>
      <x:c r="P7" s="4" t="str">
        <x:v>UTC 2026-10-11T07:07:30.890710565Z</x:v>
      </x:c>
      <x:c r="Q7" s="4" t="str">
        <x:v>UTC 2026-10-11T07:08:00.894931405Z</x:v>
      </x:c>
      <x:c r="R7" s="4" t="str">
        <x:v>0debad5e7fc09da10cafcc095421b5831e6b6896</x:v>
      </x:c>
    </x:row>
    <x:row r="8" ht="25" customHeight="1">
      <x:c r="A8" s="4" t="str">
        <x:v>2bc4b99c-502d-4f1b-9fbb-9a767c193833</x:v>
      </x:c>
      <x:c r="B8" s="4" t="str">
        <x:v>OTHER_EXPLORATORY</x:v>
      </x:c>
      <x:c r="C8" s="4" t="n">
        <x:v>1</x:v>
      </x:c>
      <x:c r="D8" s="4" t="str">
        <x:v>LIST</x:v>
      </x:c>
      <x:c r="E8" s="4" t="str">
        <x:v>HTTP_RESPONSE</x:v>
      </x:c>
      <x:c r="F8" s="4" t="n">
        <x:v>200</x:v>
      </x:c>
      <x:c r="G8" s="8" t="n">
        <x:v>14084.269291</x:v>
      </x:c>
      <x:c r="H8" s="8" t="n">
        <x:v>1.172027</x:v>
      </x:c>
      <x:c r="I8" s="8" t="n">
        <x:v>30000</x:v>
      </x:c>
      <x:c r="J8" s="4" t="n">
        <x:v>1</x:v>
      </x:c>
      <x:c r="K8" s="4" t="n">
        <x:v>0</x:v>
      </x:c>
      <x:c r="L8" s="4"/>
      <x:c r="M8" s="4"/>
      <x:c r="N8" s="4"/>
      <x:c r="O8" s="4" t="n">
        <x:v>0</x:v>
      </x:c>
      <x:c r="P8" s="4" t="str">
        <x:v>UTC 2026-10-11T07:29:35.801791453Z</x:v>
      </x:c>
      <x:c r="Q8" s="4" t="str">
        <x:v>UTC 2026-10-11T07:29:49.886058064Z</x:v>
      </x:c>
      <x:c r="R8" s="4" t="str">
        <x:v>50700134c62f2f1d270d1de3237251ca86eeba49</x:v>
      </x:c>
    </x:row>
    <x:row r="9" ht="25" customHeight="1">
      <x:c r="A9" s="4" t="str">
        <x:v>7766daec-5f98-450b-89b8-7cd18f4683d2</x:v>
      </x:c>
      <x:c r="B9" s="4" t="str">
        <x:v>OTHER_EXPLORATORY</x:v>
      </x:c>
      <x:c r="C9" s="4" t="n">
        <x:v>1</x:v>
      </x:c>
      <x:c r="D9" s="4" t="str">
        <x:v>LIST</x:v>
      </x:c>
      <x:c r="E9" s="4" t="str">
        <x:v>HTTP_RESPONSE</x:v>
      </x:c>
      <x:c r="F9" s="4" t="n">
        <x:v>200</x:v>
      </x:c>
      <x:c r="G9" s="8" t="n">
        <x:v>2373.46457</x:v>
      </x:c>
      <x:c r="H9" s="8" t="n">
        <x:v>0.225198</x:v>
      </x:c>
      <x:c r="I9" s="8" t="n">
        <x:v>30000</x:v>
      </x:c>
      <x:c r="J9" s="4" t="n">
        <x:v>1</x:v>
      </x:c>
      <x:c r="K9" s="4" t="n">
        <x:v>0</x:v>
      </x:c>
      <x:c r="L9" s="4"/>
      <x:c r="M9" s="4"/>
      <x:c r="N9" s="4"/>
      <x:c r="O9" s="4" t="n">
        <x:v>0</x:v>
      </x:c>
      <x:c r="P9" s="4" t="str">
        <x:v>UTC 2026-10-11T07:33:40.091607274Z</x:v>
      </x:c>
      <x:c r="Q9" s="4" t="str">
        <x:v>UTC 2026-10-11T07:33:42.465072364Z</x:v>
      </x:c>
      <x:c r="R9" s="4" t="str">
        <x:v>50700134c62f2f1d270d1de3237251ca86eeba49</x:v>
      </x:c>
    </x:row>
    <x:row r="10" ht="25" customHeight="1">
      <x:c r="A10" s="4" t="str">
        <x:v>50c4afc0-a755-49f6-8ea1-1c6821f54ce9</x:v>
      </x:c>
      <x:c r="B10" s="4" t="str">
        <x:v>OTHER_EXPLORATORY</x:v>
      </x:c>
      <x:c r="C10" s="4" t="n">
        <x:v>1</x:v>
      </x:c>
      <x:c r="D10" s="4" t="str">
        <x:v>LIST</x:v>
      </x:c>
      <x:c r="E10" s="4" t="str">
        <x:v>REQUEST_TIMEOUT</x:v>
      </x:c>
      <x:c r="F10" s="4"/>
      <x:c r="G10" s="8" t="n">
        <x:v>30003.611125</x:v>
      </x:c>
      <x:c r="H10" s="8" t="n">
        <x:v>0.145008</x:v>
      </x:c>
      <x:c r="I10" s="8" t="n">
        <x:v>30000</x:v>
      </x:c>
      <x:c r="J10" s="4" t="n">
        <x:v>1</x:v>
      </x:c>
      <x:c r="K10" s="4" t="n">
        <x:v>0</x:v>
      </x:c>
      <x:c r="L10" s="4"/>
      <x:c r="M10" s="4"/>
      <x:c r="N10" s="4"/>
      <x:c r="O10" s="4" t="n">
        <x:v>0</x:v>
      </x:c>
      <x:c r="P10" s="4" t="str">
        <x:v>UTC 2026-10-11T07:49:15.422978922Z</x:v>
      </x:c>
      <x:c r="Q10" s="4" t="str">
        <x:v>UTC 2026-10-11T07:49:45.426592026Z</x:v>
      </x:c>
      <x:c r="R10" s="4" t="str">
        <x:v>50700134c62f2f1d270d1de3237251ca86eeba49</x:v>
      </x:c>
    </x:row>
    <x:row r="11" ht="25" customHeight="1">
      <x:c r="A11" s="4" t="str">
        <x:v>50c4afc0-a755-49f6-8ea1-1c6821f54ce9</x:v>
      </x:c>
      <x:c r="B11" s="4" t="str">
        <x:v>OTHER_EXPLORATORY</x:v>
      </x:c>
      <x:c r="C11" s="4" t="n">
        <x:v>2</x:v>
      </x:c>
      <x:c r="D11" s="4" t="str">
        <x:v>LIST</x:v>
      </x:c>
      <x:c r="E11" s="4" t="str">
        <x:v>HTTP_RESPONSE</x:v>
      </x:c>
      <x:c r="F11" s="4" t="n">
        <x:v>503</x:v>
      </x:c>
      <x:c r="G11" s="8" t="n">
        <x:v>1166.10174</x:v>
      </x:c>
      <x:c r="H11" s="8" t="n">
        <x:v>0.182827</x:v>
      </x:c>
      <x:c r="I11" s="8" t="n">
        <x:v>30000</x:v>
      </x:c>
      <x:c r="J11" s="4" t="n">
        <x:v>1</x:v>
      </x:c>
      <x:c r="K11" s="4" t="n">
        <x:v>0</x:v>
      </x:c>
      <x:c r="L11" s="4"/>
      <x:c r="M11" s="4"/>
      <x:c r="N11" s="4" t="n">
        <x:v>30000</x:v>
      </x:c>
      <x:c r="O11" s="4" t="n">
        <x:v>0</x:v>
      </x:c>
      <x:c r="P11" s="4" t="str">
        <x:v>UTC 2026-10-11T07:49:47.428301907Z</x:v>
      </x:c>
      <x:c r="Q11" s="4" t="str">
        <x:v>UTC 2026-10-11T07:49:48.594411927Z</x:v>
      </x:c>
      <x:c r="R11" s="4" t="str">
        <x:v>50700134c62f2f1d270d1de3237251ca86eeba49</x:v>
      </x:c>
    </x:row>
    <x:row r="12" ht="25" customHeight="1">
      <x:c r="A12" s="4" t="str">
        <x:v>0664760e-a7c2-49f4-8110-b49a75175cac</x:v>
      </x:c>
      <x:c r="B12" s="4" t="str">
        <x:v>OTHER_EXPLORATORY</x:v>
      </x:c>
      <x:c r="C12" s="4" t="n">
        <x:v>1</x:v>
      </x:c>
      <x:c r="D12" s="4" t="str">
        <x:v>LIST</x:v>
      </x:c>
      <x:c r="E12" s="4" t="str">
        <x:v>REQUEST_TIMEOUT</x:v>
      </x:c>
      <x:c r="F12" s="4"/>
      <x:c r="G12" s="8" t="n">
        <x:v>30000.303839</x:v>
      </x:c>
      <x:c r="H12" s="8" t="n">
        <x:v>0.198638</x:v>
      </x:c>
      <x:c r="I12" s="8" t="n">
        <x:v>30000</x:v>
      </x:c>
      <x:c r="J12" s="4" t="n">
        <x:v>1</x:v>
      </x:c>
      <x:c r="K12" s="4" t="n">
        <x:v>0</x:v>
      </x:c>
      <x:c r="L12" s="4"/>
      <x:c r="M12" s="4"/>
      <x:c r="N12" s="4"/>
      <x:c r="O12" s="4" t="n">
        <x:v>0</x:v>
      </x:c>
      <x:c r="P12" s="4" t="str">
        <x:v>UTC 2026-10-11T07:51:31.927308433Z</x:v>
      </x:c>
      <x:c r="Q12" s="4" t="str">
        <x:v>UTC 2026-10-11T07:52:01.927615132Z</x:v>
      </x:c>
      <x:c r="R12" s="4" t="str">
        <x:v>50700134c62f2f1d270d1de3237251ca86eeba49</x:v>
      </x:c>
    </x:row>
    <x:row r="13" ht="25" customHeight="1">
      <x:c r="A13" s="4" t="str">
        <x:v>9dd4a2d6-e702-4ef1-83aa-88bbb5eda46d</x:v>
      </x:c>
      <x:c r="B13" s="4" t="str">
        <x:v>INITIAL_11_CASES</x:v>
      </x:c>
      <x:c r="C13" s="4" t="n">
        <x:v>1</x:v>
      </x:c>
      <x:c r="D13" s="4" t="str">
        <x:v>LIST</x:v>
      </x:c>
      <x:c r="E13" s="4" t="str">
        <x:v>HTTP_RESPONSE</x:v>
      </x:c>
      <x:c r="F13" s="4" t="n">
        <x:v>503</x:v>
      </x:c>
      <x:c r="G13" s="8" t="n">
        <x:v>1362.643001</x:v>
      </x:c>
      <x:c r="H13" s="8" t="n">
        <x:v>0.939277</x:v>
      </x:c>
      <x:c r="I13" s="8" t="n">
        <x:v>30000</x:v>
      </x:c>
      <x:c r="J13" s="4" t="n">
        <x:v>1</x:v>
      </x:c>
      <x:c r="K13" s="4" t="n">
        <x:v>0</x:v>
      </x:c>
      <x:c r="L13" s="4" t="n">
        <x:v>1</x:v>
      </x:c>
      <x:c r="M13" s="4"/>
      <x:c r="N13" s="4" t="n">
        <x:v>30000</x:v>
      </x:c>
      <x:c r="O13" s="4" t="n">
        <x:v>0</x:v>
      </x:c>
      <x:c r="P13" s="4" t="str">
        <x:v>UTC 2026-10-11T14:35:16.072814958Z</x:v>
      </x:c>
      <x:c r="Q13" s="4" t="str">
        <x:v>UTC 2026-10-11T14:35:17.435457642Z</x:v>
      </x:c>
      <x:c r="R13" s="4" t="str">
        <x:v>8c25381425857764c613b477ca91d115e6939999</x:v>
      </x:c>
    </x:row>
    <x:row r="14" ht="25" customHeight="1">
      <x:c r="A14" s="4" t="str">
        <x:v>0f599928-512a-4b08-a113-8f3913ada02f</x:v>
      </x:c>
      <x:c r="B14" s="4" t="str">
        <x:v>INITIAL_11_CASES</x:v>
      </x:c>
      <x:c r="C14" s="4" t="n">
        <x:v>1</x:v>
      </x:c>
      <x:c r="D14" s="4" t="str">
        <x:v>LIST</x:v>
      </x:c>
      <x:c r="E14" s="4" t="str">
        <x:v>HTTP_RESPONSE</x:v>
      </x:c>
      <x:c r="F14" s="4" t="n">
        <x:v>500</x:v>
      </x:c>
      <x:c r="G14" s="8" t="n">
        <x:v>1174.506063</x:v>
      </x:c>
      <x:c r="H14" s="8" t="n">
        <x:v>0.150693</x:v>
      </x:c>
      <x:c r="I14" s="8" t="n">
        <x:v>30000</x:v>
      </x:c>
      <x:c r="J14" s="4" t="n">
        <x:v>2</x:v>
      </x:c>
      <x:c r="K14" s="4" t="n">
        <x:v>0</x:v>
      </x:c>
      <x:c r="L14" s="4" t="n">
        <x:v>2</x:v>
      </x:c>
      <x:c r="M14" s="4"/>
      <x:c r="N14" s="4"/>
      <x:c r="O14" s="4" t="n">
        <x:v>0</x:v>
      </x:c>
      <x:c r="P14" s="4" t="str">
        <x:v>UTC 2026-10-11T14:41:08.458366190Z</x:v>
      </x:c>
      <x:c r="Q14" s="4" t="str">
        <x:v>UTC 2026-10-11T14:41:09.632873627Z</x:v>
      </x:c>
      <x:c r="R14" s="4" t="str">
        <x:v>8c25381425857764c613b477ca91d115e6939999</x:v>
      </x:c>
    </x:row>
    <x:row r="15" ht="25" customHeight="1">
      <x:c r="A15" s="4" t="str">
        <x:v>0f599928-512a-4b08-a113-8f3913ada02f</x:v>
      </x:c>
      <x:c r="B15" s="4" t="str">
        <x:v>INITIAL_11_CASES</x:v>
      </x:c>
      <x:c r="C15" s="4" t="n">
        <x:v>2</x:v>
      </x:c>
      <x:c r="D15" s="4" t="str">
        <x:v>LIST</x:v>
      </x:c>
      <x:c r="E15" s="4" t="str">
        <x:v>HTTP_RESPONSE</x:v>
      </x:c>
      <x:c r="F15" s="4" t="n">
        <x:v>500</x:v>
      </x:c>
      <x:c r="G15" s="8" t="n">
        <x:v>1194.102481</x:v>
      </x:c>
      <x:c r="H15" s="8" t="n">
        <x:v>0.101522</x:v>
      </x:c>
      <x:c r="I15" s="8" t="n">
        <x:v>30000</x:v>
      </x:c>
      <x:c r="J15" s="4" t="n">
        <x:v>2</x:v>
      </x:c>
      <x:c r="K15" s="4" t="n">
        <x:v>0</x:v>
      </x:c>
      <x:c r="L15" s="4" t="n">
        <x:v>2</x:v>
      </x:c>
      <x:c r="M15" s="4"/>
      <x:c r="N15" s="4"/>
      <x:c r="O15" s="4" t="n">
        <x:v>0</x:v>
      </x:c>
      <x:c r="P15" s="4" t="str">
        <x:v>UTC 2026-10-11T14:41:08.458390620Z</x:v>
      </x:c>
      <x:c r="Q15" s="4" t="str">
        <x:v>UTC 2026-10-11T14:41:09.652493880Z</x:v>
      </x:c>
      <x:c r="R15" s="4" t="str">
        <x:v>8c25381425857764c613b477ca91d115e6939999</x:v>
      </x:c>
    </x:row>
    <x:row r="16" ht="25" customHeight="1">
      <x:c r="A16" s="4" t="str">
        <x:v>bceb8eb7-7715-4efe-9c5d-00fd68d2e35a</x:v>
      </x:c>
      <x:c r="B16" s="4" t="str">
        <x:v>INITIAL_11_CASES</x:v>
      </x:c>
      <x:c r="C16" s="4" t="n">
        <x:v>1</x:v>
      </x:c>
      <x:c r="D16" s="4" t="str">
        <x:v>LIST</x:v>
      </x:c>
      <x:c r="E16" s="4" t="str">
        <x:v>HTTP_RESPONSE</x:v>
      </x:c>
      <x:c r="F16" s="4" t="n">
        <x:v>503</x:v>
      </x:c>
      <x:c r="G16" s="8" t="n">
        <x:v>775.559435</x:v>
      </x:c>
      <x:c r="H16" s="8" t="n">
        <x:v>0.112951</x:v>
      </x:c>
      <x:c r="I16" s="8" t="n">
        <x:v>30000</x:v>
      </x:c>
      <x:c r="J16" s="4" t="n">
        <x:v>3</x:v>
      </x:c>
      <x:c r="K16" s="4" t="n">
        <x:v>0</x:v>
      </x:c>
      <x:c r="L16" s="4" t="n">
        <x:v>3</x:v>
      </x:c>
      <x:c r="M16" s="4"/>
      <x:c r="N16" s="4" t="n">
        <x:v>30000</x:v>
      </x:c>
      <x:c r="O16" s="4" t="n">
        <x:v>0</x:v>
      </x:c>
      <x:c r="P16" s="4" t="str">
        <x:v>UTC 2026-10-11T14:44:25.226471323Z</x:v>
      </x:c>
      <x:c r="Q16" s="4" t="str">
        <x:v>UTC 2026-10-11T14:44:26.002032510Z</x:v>
      </x:c>
      <x:c r="R16" s="4" t="str">
        <x:v>8c25381425857764c613b477ca91d115e6939999</x:v>
      </x:c>
    </x:row>
    <x:row r="17" ht="25" customHeight="1">
      <x:c r="A17" s="4" t="str">
        <x:v>bceb8eb7-7715-4efe-9c5d-00fd68d2e35a</x:v>
      </x:c>
      <x:c r="B17" s="4" t="str">
        <x:v>INITIAL_11_CASES</x:v>
      </x:c>
      <x:c r="C17" s="4" t="n">
        <x:v>2</x:v>
      </x:c>
      <x:c r="D17" s="4" t="str">
        <x:v>LIST</x:v>
      </x:c>
      <x:c r="E17" s="4" t="str">
        <x:v>CANCELLED</x:v>
      </x:c>
      <x:c r="F17" s="4"/>
      <x:c r="G17" s="8" t="n">
        <x:v>804.755416</x:v>
      </x:c>
      <x:c r="H17" s="8" t="n">
        <x:v>0.099993</x:v>
      </x:c>
      <x:c r="I17" s="8" t="n">
        <x:v>30000</x:v>
      </x:c>
      <x:c r="J17" s="4" t="n">
        <x:v>3</x:v>
      </x:c>
      <x:c r="K17" s="4" t="n">
        <x:v>0</x:v>
      </x:c>
      <x:c r="L17" s="4" t="n">
        <x:v>3</x:v>
      </x:c>
      <x:c r="M17" s="4"/>
      <x:c r="N17" s="4"/>
      <x:c r="O17" s="4" t="n">
        <x:v>0</x:v>
      </x:c>
      <x:c r="P17" s="4" t="str">
        <x:v>UTC 2026-10-11T14:44:25.226556814Z</x:v>
      </x:c>
      <x:c r="Q17" s="4" t="str">
        <x:v>UTC 2026-10-11T14:44:26.031312934Z</x:v>
      </x:c>
      <x:c r="R17" s="4" t="str">
        <x:v>8c25381425857764c613b477ca91d115e6939999</x:v>
      </x:c>
    </x:row>
    <x:row r="18" ht="25" customHeight="1">
      <x:c r="A18" s="4" t="str">
        <x:v>bceb8eb7-7715-4efe-9c5d-00fd68d2e35a</x:v>
      </x:c>
      <x:c r="B18" s="4" t="str">
        <x:v>INITIAL_11_CASES</x:v>
      </x:c>
      <x:c r="C18" s="4" t="n">
        <x:v>3</x:v>
      </x:c>
      <x:c r="D18" s="4" t="str">
        <x:v>LIST</x:v>
      </x:c>
      <x:c r="E18" s="4" t="str">
        <x:v>CANCELLED</x:v>
      </x:c>
      <x:c r="F18" s="4"/>
      <x:c r="G18" s="8" t="n">
        <x:v>804.707837</x:v>
      </x:c>
      <x:c r="H18" s="8" t="n">
        <x:v>0.078492</x:v>
      </x:c>
      <x:c r="I18" s="8" t="n">
        <x:v>30000</x:v>
      </x:c>
      <x:c r="J18" s="4" t="n">
        <x:v>3</x:v>
      </x:c>
      <x:c r="K18" s="4" t="n">
        <x:v>0</x:v>
      </x:c>
      <x:c r="L18" s="4" t="n">
        <x:v>3</x:v>
      </x:c>
      <x:c r="M18" s="4"/>
      <x:c r="N18" s="4"/>
      <x:c r="O18" s="4" t="n">
        <x:v>0</x:v>
      </x:c>
      <x:c r="P18" s="4" t="str">
        <x:v>UTC 2026-10-11T14:44:25.226587037Z</x:v>
      </x:c>
      <x:c r="Q18" s="4" t="str">
        <x:v>UTC 2026-10-11T14:44:26.031296128Z</x:v>
      </x:c>
      <x:c r="R18" s="4" t="str">
        <x:v>8c25381425857764c613b477ca91d115e6939999</x:v>
      </x:c>
    </x:row>
    <x:row r="19" ht="25" customHeight="1">
      <x:c r="A19" s="4" t="str">
        <x:v>15b904a5-002f-4348-89d1-44f18868da03</x:v>
      </x:c>
      <x:c r="B19" s="4" t="str">
        <x:v>INITIAL_11_CASES</x:v>
      </x:c>
      <x:c r="C19" s="4" t="n">
        <x:v>1</x:v>
      </x:c>
      <x:c r="D19" s="4" t="str">
        <x:v>LIST</x:v>
      </x:c>
      <x:c r="E19" s="4" t="str">
        <x:v>HTTP_RESPONSE</x:v>
      </x:c>
      <x:c r="F19" s="4" t="n">
        <x:v>200</x:v>
      </x:c>
      <x:c r="G19" s="8" t="n">
        <x:v>1136.100175</x:v>
      </x:c>
      <x:c r="H19" s="8" t="n">
        <x:v>0.175782</x:v>
      </x:c>
      <x:c r="I19" s="8" t="n">
        <x:v>60000</x:v>
      </x:c>
      <x:c r="J19" s="4" t="n">
        <x:v>1</x:v>
      </x:c>
      <x:c r="K19" s="4" t="n">
        <x:v>0</x:v>
      </x:c>
      <x:c r="L19" s="4" t="n">
        <x:v>1</x:v>
      </x:c>
      <x:c r="M19" s="4"/>
      <x:c r="N19" s="4"/>
      <x:c r="O19" s="4" t="n">
        <x:v>0</x:v>
      </x:c>
      <x:c r="P19" s="4" t="str">
        <x:v>UTC 2026-10-11T14:46:58.705517248Z</x:v>
      </x:c>
      <x:c r="Q19" s="4" t="str">
        <x:v>UTC 2026-10-11T14:46:59.841618817Z</x:v>
      </x:c>
      <x:c r="R19" s="4" t="str">
        <x:v>8c25381425857764c613b477ca91d115e6939999</x:v>
      </x:c>
    </x:row>
    <x:row r="20" ht="25" customHeight="1">
      <x:c r="A20" s="4" t="str">
        <x:v>2e79bff2-80e2-4e82-8e04-31e96f8d9ffb</x:v>
      </x:c>
      <x:c r="B20" s="4" t="str">
        <x:v>INITIAL_11_CASES</x:v>
      </x:c>
      <x:c r="C20" s="4" t="n">
        <x:v>1</x:v>
      </x:c>
      <x:c r="D20" s="4" t="str">
        <x:v>LIST</x:v>
      </x:c>
      <x:c r="E20" s="4" t="str">
        <x:v>HTTP_RESPONSE</x:v>
      </x:c>
      <x:c r="F20" s="4" t="n">
        <x:v>503</x:v>
      </x:c>
      <x:c r="G20" s="8" t="n">
        <x:v>30542.319441</x:v>
      </x:c>
      <x:c r="H20" s="8" t="n">
        <x:v>0.141206</x:v>
      </x:c>
      <x:c r="I20" s="8" t="n">
        <x:v>60000</x:v>
      </x:c>
      <x:c r="J20" s="4" t="n">
        <x:v>1</x:v>
      </x:c>
      <x:c r="K20" s="4" t="n">
        <x:v>0</x:v>
      </x:c>
      <x:c r="L20" s="4" t="n">
        <x:v>1</x:v>
      </x:c>
      <x:c r="M20" s="4"/>
      <x:c r="N20" s="4"/>
      <x:c r="O20" s="4" t="n">
        <x:v>0</x:v>
      </x:c>
      <x:c r="P20" s="4" t="str">
        <x:v>UTC 2026-10-11T14:47:03.049431231Z</x:v>
      </x:c>
      <x:c r="Q20" s="4" t="str">
        <x:v>UTC 2026-10-11T14:47:33.591755101Z</x:v>
      </x:c>
      <x:c r="R20" s="4" t="str">
        <x:v>8c25381425857764c613b477ca91d115e6939999</x:v>
      </x:c>
    </x:row>
    <x:row r="21" ht="25" customHeight="1">
      <x:c r="A21" s="4" t="str">
        <x:v>2a883cd0-c44a-4288-b496-8d4e71cf680f</x:v>
      </x:c>
      <x:c r="B21" s="4" t="str">
        <x:v>INITIAL_11_CASES</x:v>
      </x:c>
      <x:c r="C21" s="4" t="n">
        <x:v>1</x:v>
      </x:c>
      <x:c r="D21" s="4" t="str">
        <x:v>LIST</x:v>
      </x:c>
      <x:c r="E21" s="4" t="str">
        <x:v>HTTP_RESPONSE</x:v>
      </x:c>
      <x:c r="F21" s="4" t="n">
        <x:v>200</x:v>
      </x:c>
      <x:c r="G21" s="8" t="n">
        <x:v>1230.187298</x:v>
      </x:c>
      <x:c r="H21" s="8" t="n">
        <x:v>0.153287</x:v>
      </x:c>
      <x:c r="I21" s="8" t="n">
        <x:v>60000</x:v>
      </x:c>
      <x:c r="J21" s="4" t="n">
        <x:v>2</x:v>
      </x:c>
      <x:c r="K21" s="4" t="n">
        <x:v>0</x:v>
      </x:c>
      <x:c r="L21" s="4" t="n">
        <x:v>2</x:v>
      </x:c>
      <x:c r="M21" s="4"/>
      <x:c r="N21" s="4"/>
      <x:c r="O21" s="4" t="n">
        <x:v>0</x:v>
      </x:c>
      <x:c r="P21" s="4" t="str">
        <x:v>UTC 2026-10-11T14:49:59.888812091Z</x:v>
      </x:c>
      <x:c r="Q21" s="4" t="str">
        <x:v>UTC 2026-10-11T14:50:01.119001337Z</x:v>
      </x:c>
      <x:c r="R21" s="4" t="str">
        <x:v>8c25381425857764c613b477ca91d115e6939999</x:v>
      </x:c>
    </x:row>
    <x:row r="22" ht="25" customHeight="1">
      <x:c r="A22" s="4" t="str">
        <x:v>2a883cd0-c44a-4288-b496-8d4e71cf680f</x:v>
      </x:c>
      <x:c r="B22" s="4" t="str">
        <x:v>INITIAL_11_CASES</x:v>
      </x:c>
      <x:c r="C22" s="4" t="n">
        <x:v>2</x:v>
      </x:c>
      <x:c r="D22" s="4" t="str">
        <x:v>LIST</x:v>
      </x:c>
      <x:c r="E22" s="4" t="str">
        <x:v>HTTP_RESPONSE</x:v>
      </x:c>
      <x:c r="F22" s="4" t="n">
        <x:v>200</x:v>
      </x:c>
      <x:c r="G22" s="8" t="n">
        <x:v>728.586956</x:v>
      </x:c>
      <x:c r="H22" s="8" t="n">
        <x:v>0.11734</x:v>
      </x:c>
      <x:c r="I22" s="8" t="n">
        <x:v>60000</x:v>
      </x:c>
      <x:c r="J22" s="4" t="n">
        <x:v>2</x:v>
      </x:c>
      <x:c r="K22" s="4" t="n">
        <x:v>0</x:v>
      </x:c>
      <x:c r="L22" s="4" t="n">
        <x:v>2</x:v>
      </x:c>
      <x:c r="M22" s="4"/>
      <x:c r="N22" s="4"/>
      <x:c r="O22" s="4" t="n">
        <x:v>0</x:v>
      </x:c>
      <x:c r="P22" s="4" t="str">
        <x:v>UTC 2026-10-11T14:49:59.888828853Z</x:v>
      </x:c>
      <x:c r="Q22" s="4" t="str">
        <x:v>UTC 2026-10-11T14:50:00.617417613Z</x:v>
      </x:c>
      <x:c r="R22" s="4" t="str">
        <x:v>8c25381425857764c613b477ca91d115e6939999</x:v>
      </x:c>
    </x:row>
    <x:row r="23" ht="25" customHeight="1">
      <x:c r="A23" s="4" t="str">
        <x:v>7c70ac5f-cabb-4ef7-93c0-0e06417208be</x:v>
      </x:c>
      <x:c r="B23" s="4" t="str">
        <x:v>INITIAL_11_CASES</x:v>
      </x:c>
      <x:c r="C23" s="4" t="n">
        <x:v>1</x:v>
      </x:c>
      <x:c r="D23" s="4" t="str">
        <x:v>LIST</x:v>
      </x:c>
      <x:c r="E23" s="4" t="str">
        <x:v>HTTP_RESPONSE</x:v>
      </x:c>
      <x:c r="F23" s="4" t="n">
        <x:v>500</x:v>
      </x:c>
      <x:c r="G23" s="8" t="n">
        <x:v>563.690625</x:v>
      </x:c>
      <x:c r="H23" s="8" t="n">
        <x:v>0.171714</x:v>
      </x:c>
      <x:c r="I23" s="8" t="n">
        <x:v>60000</x:v>
      </x:c>
      <x:c r="J23" s="4" t="n">
        <x:v>2</x:v>
      </x:c>
      <x:c r="K23" s="4" t="n">
        <x:v>0</x:v>
      </x:c>
      <x:c r="L23" s="4" t="n">
        <x:v>2</x:v>
      </x:c>
      <x:c r="M23" s="4"/>
      <x:c r="N23" s="4"/>
      <x:c r="O23" s="4" t="n">
        <x:v>0</x:v>
      </x:c>
      <x:c r="P23" s="4" t="str">
        <x:v>UTC 2026-10-11T14:50:04.385587792Z</x:v>
      </x:c>
      <x:c r="Q23" s="4" t="str">
        <x:v>UTC 2026-10-11T14:50:04.949280364Z</x:v>
      </x:c>
      <x:c r="R23" s="4" t="str">
        <x:v>8c25381425857764c613b477ca91d115e6939999</x:v>
      </x:c>
    </x:row>
    <x:row r="24" ht="25" customHeight="1">
      <x:c r="A24" s="4" t="str">
        <x:v>7c70ac5f-cabb-4ef7-93c0-0e06417208be</x:v>
      </x:c>
      <x:c r="B24" s="4" t="str">
        <x:v>INITIAL_11_CASES</x:v>
      </x:c>
      <x:c r="C24" s="4" t="n">
        <x:v>2</x:v>
      </x:c>
      <x:c r="D24" s="4" t="str">
        <x:v>LIST</x:v>
      </x:c>
      <x:c r="E24" s="4" t="str">
        <x:v>HTTP_RESPONSE</x:v>
      </x:c>
      <x:c r="F24" s="4" t="n">
        <x:v>500</x:v>
      </x:c>
      <x:c r="G24" s="8" t="n">
        <x:v>554.103011</x:v>
      </x:c>
      <x:c r="H24" s="8" t="n">
        <x:v>0.123515</x:v>
      </x:c>
      <x:c r="I24" s="8" t="n">
        <x:v>60000</x:v>
      </x:c>
      <x:c r="J24" s="4" t="n">
        <x:v>2</x:v>
      </x:c>
      <x:c r="K24" s="4" t="n">
        <x:v>0</x:v>
      </x:c>
      <x:c r="L24" s="4" t="n">
        <x:v>2</x:v>
      </x:c>
      <x:c r="M24" s="4"/>
      <x:c r="N24" s="4"/>
      <x:c r="O24" s="4" t="n">
        <x:v>0</x:v>
      </x:c>
      <x:c r="P24" s="4" t="str">
        <x:v>UTC 2026-10-11T14:50:04.385617320Z</x:v>
      </x:c>
      <x:c r="Q24" s="4" t="str">
        <x:v>UTC 2026-10-11T14:50:04.939721387Z</x:v>
      </x:c>
      <x:c r="R24" s="4" t="str">
        <x:v>8c25381425857764c613b477ca91d115e6939999</x:v>
      </x:c>
    </x:row>
    <x:row r="25" ht="25" customHeight="1">
      <x:c r="A25" s="4" t="str">
        <x:v>2e8b541c-3b23-4a80-865a-206dfcc601a9</x:v>
      </x:c>
      <x:c r="B25" s="4" t="str">
        <x:v>INITIAL_11_CASES</x:v>
      </x:c>
      <x:c r="C25" s="4" t="n">
        <x:v>1</x:v>
      </x:c>
      <x:c r="D25" s="4" t="str">
        <x:v>LIST</x:v>
      </x:c>
      <x:c r="E25" s="4" t="str">
        <x:v>HTTP_RESPONSE</x:v>
      </x:c>
      <x:c r="F25" s="4" t="n">
        <x:v>200</x:v>
      </x:c>
      <x:c r="G25" s="8" t="n">
        <x:v>26884.972922</x:v>
      </x:c>
      <x:c r="H25" s="8" t="n">
        <x:v>0.183759</x:v>
      </x:c>
      <x:c r="I25" s="8" t="n">
        <x:v>60000</x:v>
      </x:c>
      <x:c r="J25" s="4" t="n">
        <x:v>3</x:v>
      </x:c>
      <x:c r="K25" s="4" t="n">
        <x:v>0</x:v>
      </x:c>
      <x:c r="L25" s="4" t="n">
        <x:v>3</x:v>
      </x:c>
      <x:c r="M25" s="4"/>
      <x:c r="N25" s="4"/>
      <x:c r="O25" s="4" t="n">
        <x:v>0</x:v>
      </x:c>
      <x:c r="P25" s="4" t="str">
        <x:v>UTC 2026-10-11T14:52:16.282349618Z</x:v>
      </x:c>
      <x:c r="Q25" s="4" t="str">
        <x:v>UTC 2026-10-11T14:52:43.167325057Z</x:v>
      </x:c>
      <x:c r="R25" s="4" t="str">
        <x:v>8c25381425857764c613b477ca91d115e6939999</x:v>
      </x:c>
    </x:row>
    <x:row r="26" ht="25" customHeight="1">
      <x:c r="A26" s="4" t="str">
        <x:v>2e8b541c-3b23-4a80-865a-206dfcc601a9</x:v>
      </x:c>
      <x:c r="B26" s="4" t="str">
        <x:v>INITIAL_11_CASES</x:v>
      </x:c>
      <x:c r="C26" s="4" t="n">
        <x:v>2</x:v>
      </x:c>
      <x:c r="D26" s="4" t="str">
        <x:v>LIST</x:v>
      </x:c>
      <x:c r="E26" s="4" t="str">
        <x:v>HTTP_RESPONSE</x:v>
      </x:c>
      <x:c r="F26" s="4" t="n">
        <x:v>200</x:v>
      </x:c>
      <x:c r="G26" s="8" t="n">
        <x:v>2053.976168</x:v>
      </x:c>
      <x:c r="H26" s="8" t="n">
        <x:v>0.106146</x:v>
      </x:c>
      <x:c r="I26" s="8" t="n">
        <x:v>60000</x:v>
      </x:c>
      <x:c r="J26" s="4" t="n">
        <x:v>3</x:v>
      </x:c>
      <x:c r="K26" s="4" t="n">
        <x:v>0</x:v>
      </x:c>
      <x:c r="L26" s="4" t="n">
        <x:v>3</x:v>
      </x:c>
      <x:c r="M26" s="4"/>
      <x:c r="N26" s="4"/>
      <x:c r="O26" s="4" t="n">
        <x:v>0</x:v>
      </x:c>
      <x:c r="P26" s="4" t="str">
        <x:v>UTC 2026-10-11T14:52:16.282349754Z</x:v>
      </x:c>
      <x:c r="Q26" s="4" t="str">
        <x:v>UTC 2026-10-11T14:52:18.336328426Z</x:v>
      </x:c>
      <x:c r="R26" s="4" t="str">
        <x:v>8c25381425857764c613b477ca91d115e6939999</x:v>
      </x:c>
    </x:row>
    <x:row r="27" ht="25" customHeight="1">
      <x:c r="A27" s="4" t="str">
        <x:v>2e8b541c-3b23-4a80-865a-206dfcc601a9</x:v>
      </x:c>
      <x:c r="B27" s="4" t="str">
        <x:v>INITIAL_11_CASES</x:v>
      </x:c>
      <x:c r="C27" s="4" t="n">
        <x:v>3</x:v>
      </x:c>
      <x:c r="D27" s="4" t="str">
        <x:v>LIST</x:v>
      </x:c>
      <x:c r="E27" s="4" t="str">
        <x:v>HTTP_RESPONSE</x:v>
      </x:c>
      <x:c r="F27" s="4" t="n">
        <x:v>503</x:v>
      </x:c>
      <x:c r="G27" s="8" t="n">
        <x:v>30547.861731</x:v>
      </x:c>
      <x:c r="H27" s="8" t="n">
        <x:v>0.080159</x:v>
      </x:c>
      <x:c r="I27" s="8" t="n">
        <x:v>60000</x:v>
      </x:c>
      <x:c r="J27" s="4" t="n">
        <x:v>3</x:v>
      </x:c>
      <x:c r="K27" s="4" t="n">
        <x:v>0</x:v>
      </x:c>
      <x:c r="L27" s="4" t="n">
        <x:v>3</x:v>
      </x:c>
      <x:c r="M27" s="4"/>
      <x:c r="N27" s="4"/>
      <x:c r="O27" s="4" t="n">
        <x:v>0</x:v>
      </x:c>
      <x:c r="P27" s="4" t="str">
        <x:v>UTC 2026-10-11T14:52:16.282375096Z</x:v>
      </x:c>
      <x:c r="Q27" s="4" t="str">
        <x:v>UTC 2026-10-11T14:52:46.830239571Z</x:v>
      </x:c>
      <x:c r="R27" s="4" t="str">
        <x:v>8c25381425857764c613b477ca91d115e6939999</x:v>
      </x:c>
    </x:row>
    <x:row r="28" ht="25" customHeight="1">
      <x:c r="A28" s="4" t="str">
        <x:v>73897f1f-b17d-429b-8baa-cc679b273fe2</x:v>
      </x:c>
      <x:c r="B28" s="4" t="str">
        <x:v>INITIAL_11_CASES</x:v>
      </x:c>
      <x:c r="C28" s="4" t="n">
        <x:v>1</x:v>
      </x:c>
      <x:c r="D28" s="4" t="str">
        <x:v>CREATE</x:v>
      </x:c>
      <x:c r="E28" s="4" t="str">
        <x:v>HTTP_RESPONSE</x:v>
      </x:c>
      <x:c r="F28" s="4" t="n">
        <x:v>201</x:v>
      </x:c>
      <x:c r="G28" s="8" t="n">
        <x:v>1002.19898</x:v>
      </x:c>
      <x:c r="H28" s="8" t="n">
        <x:v>1.178668</x:v>
      </x:c>
      <x:c r="I28" s="8" t="n">
        <x:v>30000</x:v>
      </x:c>
      <x:c r="J28" s="4" t="n">
        <x:v>1</x:v>
      </x:c>
      <x:c r="K28" s="4" t="n">
        <x:v>0</x:v>
      </x:c>
      <x:c r="L28" s="4" t="n">
        <x:v>1</x:v>
      </x:c>
      <x:c r="M28" s="4"/>
      <x:c r="N28" s="4"/>
      <x:c r="O28" s="4" t="n">
        <x:v>0</x:v>
      </x:c>
      <x:c r="P28" s="4" t="str">
        <x:v>UTC 2026-10-11T15:02:03.931824541Z</x:v>
      </x:c>
      <x:c r="Q28" s="4" t="str">
        <x:v>UTC 2026-10-11T15:02:04.934029931Z</x:v>
      </x:c>
      <x:c r="R28" s="4" t="str">
        <x:v>8c25381425857764c613b477ca91d115e6939999</x:v>
      </x:c>
    </x:row>
    <x:row r="29" ht="25" customHeight="1">
      <x:c r="A29" s="4" t="str">
        <x:v>fa48a462-cfff-4b10-9259-5b1eb2d89365</x:v>
      </x:c>
      <x:c r="B29" s="4" t="str">
        <x:v>INITIAL_11_CASES</x:v>
      </x:c>
      <x:c r="C29" s="4" t="n">
        <x:v>1</x:v>
      </x:c>
      <x:c r="D29" s="4" t="str">
        <x:v>CREATE</x:v>
      </x:c>
      <x:c r="E29" s="4" t="str">
        <x:v>HTTP_RESPONSE</x:v>
      </x:c>
      <x:c r="F29" s="4" t="n">
        <x:v>201</x:v>
      </x:c>
      <x:c r="G29" s="8" t="n">
        <x:v>655.872182</x:v>
      </x:c>
      <x:c r="H29" s="8" t="n">
        <x:v>0.286017</x:v>
      </x:c>
      <x:c r="I29" s="8" t="n">
        <x:v>30000</x:v>
      </x:c>
      <x:c r="J29" s="4" t="n">
        <x:v>1</x:v>
      </x:c>
      <x:c r="K29" s="4" t="n">
        <x:v>0</x:v>
      </x:c>
      <x:c r="L29" s="4" t="n">
        <x:v>1</x:v>
      </x:c>
      <x:c r="M29" s="4"/>
      <x:c r="N29" s="4"/>
      <x:c r="O29" s="4" t="n">
        <x:v>0</x:v>
      </x:c>
      <x:c r="P29" s="4" t="str">
        <x:v>UTC 2026-10-11T15:02:08.057033333Z</x:v>
      </x:c>
      <x:c r="Q29" s="4" t="str">
        <x:v>UTC 2026-10-11T15:02:08.712908644Z</x:v>
      </x:c>
      <x:c r="R29" s="4" t="str">
        <x:v>8c25381425857764c613b477ca91d115e6939999</x:v>
      </x:c>
    </x:row>
    <x:row r="30" ht="25" customHeight="1">
      <x:c r="A30" s="4" t="str">
        <x:v>fa48a462-cfff-4b10-9259-5b1eb2d89365</x:v>
      </x:c>
      <x:c r="B30" s="4" t="str">
        <x:v>INITIAL_11_CASES</x:v>
      </x:c>
      <x:c r="C30" s="4" t="n">
        <x:v>2</x:v>
      </x:c>
      <x:c r="D30" s="4" t="str">
        <x:v>DETAIL</x:v>
      </x:c>
      <x:c r="E30" s="4" t="str">
        <x:v>HTTP_RESPONSE</x:v>
      </x:c>
      <x:c r="F30" s="4" t="n">
        <x:v>200</x:v>
      </x:c>
      <x:c r="G30" s="8" t="n">
        <x:v>333.818079</x:v>
      </x:c>
      <x:c r="H30" s="8" t="n">
        <x:v>0.367466</x:v>
      </x:c>
      <x:c r="I30" s="8" t="n">
        <x:v>30000</x:v>
      </x:c>
      <x:c r="J30" s="4" t="n">
        <x:v>1</x:v>
      </x:c>
      <x:c r="K30" s="4" t="n">
        <x:v>0</x:v>
      </x:c>
      <x:c r="L30" s="4" t="n">
        <x:v>1</x:v>
      </x:c>
      <x:c r="M30" s="4"/>
      <x:c r="N30" s="4"/>
      <x:c r="O30" s="4" t="n">
        <x:v>0</x:v>
      </x:c>
      <x:c r="P30" s="4" t="str">
        <x:v>UTC 2026-10-11T15:02:13.719662640Z</x:v>
      </x:c>
      <x:c r="Q30" s="4" t="str">
        <x:v>UTC 2026-10-11T15:02:14.053481009Z</x:v>
      </x:c>
      <x:c r="R30" s="4" t="str">
        <x:v>8c25381425857764c613b477ca91d115e6939999</x:v>
      </x:c>
    </x:row>
    <x:row r="31" ht="25" customHeight="1">
      <x:c r="A31" s="4" t="str">
        <x:v>fa48a462-cfff-4b10-9259-5b1eb2d89365</x:v>
      </x:c>
      <x:c r="B31" s="4" t="str">
        <x:v>INITIAL_11_CASES</x:v>
      </x:c>
      <x:c r="C31" s="4" t="n">
        <x:v>3</x:v>
      </x:c>
      <x:c r="D31" s="4" t="str">
        <x:v>DETAIL</x:v>
      </x:c>
      <x:c r="E31" s="4" t="str">
        <x:v>HTTP_RESPONSE</x:v>
      </x:c>
      <x:c r="F31" s="4" t="n">
        <x:v>200</x:v>
      </x:c>
      <x:c r="G31" s="8" t="n">
        <x:v>316.549191</x:v>
      </x:c>
      <x:c r="H31" s="8" t="n">
        <x:v>0.208107</x:v>
      </x:c>
      <x:c r="I31" s="8" t="n">
        <x:v>30000</x:v>
      </x:c>
      <x:c r="J31" s="4" t="n">
        <x:v>1</x:v>
      </x:c>
      <x:c r="K31" s="4" t="n">
        <x:v>0</x:v>
      </x:c>
      <x:c r="L31" s="4" t="n">
        <x:v>1</x:v>
      </x:c>
      <x:c r="M31" s="4"/>
      <x:c r="N31" s="4"/>
      <x:c r="O31" s="4" t="n">
        <x:v>0</x:v>
      </x:c>
      <x:c r="P31" s="4" t="str">
        <x:v>UTC 2026-10-11T15:02:19.176476288Z</x:v>
      </x:c>
      <x:c r="Q31" s="4" t="str">
        <x:v>UTC 2026-10-11T15:02:19.493027599Z</x:v>
      </x:c>
      <x:c r="R31" s="4" t="str">
        <x:v>8c25381425857764c613b477ca91d115e6939999</x:v>
      </x:c>
    </x:row>
    <x:row r="32" ht="25" customHeight="1">
      <x:c r="A32" s="4" t="str">
        <x:v>fa48a462-cfff-4b10-9259-5b1eb2d89365</x:v>
      </x:c>
      <x:c r="B32" s="4" t="str">
        <x:v>INITIAL_11_CASES</x:v>
      </x:c>
      <x:c r="C32" s="4" t="n">
        <x:v>4</x:v>
      </x:c>
      <x:c r="D32" s="4" t="str">
        <x:v>DETAIL</x:v>
      </x:c>
      <x:c r="E32" s="4" t="str">
        <x:v>REQUEST_TIMEOUT</x:v>
      </x:c>
      <x:c r="F32" s="4"/>
      <x:c r="G32" s="8" t="n">
        <x:v>30003.720794</x:v>
      </x:c>
      <x:c r="H32" s="8" t="n">
        <x:v>0.186099</x:v>
      </x:c>
      <x:c r="I32" s="8" t="n">
        <x:v>30000</x:v>
      </x:c>
      <x:c r="J32" s="4" t="n">
        <x:v>1</x:v>
      </x:c>
      <x:c r="K32" s="4" t="n">
        <x:v>0</x:v>
      </x:c>
      <x:c r="L32" s="4" t="n">
        <x:v>1</x:v>
      </x:c>
      <x:c r="M32" s="4"/>
      <x:c r="N32" s="4"/>
      <x:c r="O32" s="4" t="n">
        <x:v>0</x:v>
      </x:c>
      <x:c r="P32" s="4" t="str">
        <x:v>UTC 2026-10-11T15:02:24.541625257Z</x:v>
      </x:c>
      <x:c r="Q32" s="4" t="str">
        <x:v>UTC 2026-10-11T15:02:54.545347621Z</x:v>
      </x:c>
      <x:c r="R32" s="4" t="str">
        <x:v>8c25381425857764c613b477ca91d115e6939999</x:v>
      </x:c>
    </x:row>
    <x:row r="33" ht="25" customHeight="1">
      <x:c r="A33" s="4" t="str">
        <x:v>6389a638-6cb5-42c5-9cd0-4170c34ed323</x:v>
      </x:c>
      <x:c r="B33" s="4" t="str">
        <x:v>INITIAL_11_CASES</x:v>
      </x:c>
      <x:c r="C33" s="4" t="n">
        <x:v>1</x:v>
      </x:c>
      <x:c r="D33" s="4" t="str">
        <x:v>LIST</x:v>
      </x:c>
      <x:c r="E33" s="4" t="str">
        <x:v>HTTP_RESPONSE</x:v>
      </x:c>
      <x:c r="F33" s="4" t="n">
        <x:v>200</x:v>
      </x:c>
      <x:c r="G33" s="8" t="n">
        <x:v>27108.3681</x:v>
      </x:c>
      <x:c r="H33" s="8" t="n">
        <x:v>0.237668</x:v>
      </x:c>
      <x:c r="I33" s="8" t="n">
        <x:v>30000</x:v>
      </x:c>
      <x:c r="J33" s="4" t="n">
        <x:v>1</x:v>
      </x:c>
      <x:c r="K33" s="4" t="n">
        <x:v>0</x:v>
      </x:c>
      <x:c r="L33" s="4" t="n">
        <x:v>1</x:v>
      </x:c>
      <x:c r="M33" s="4"/>
      <x:c r="N33" s="4"/>
      <x:c r="O33" s="4" t="n">
        <x:v>0</x:v>
      </x:c>
      <x:c r="P33" s="4" t="str">
        <x:v>UTC 2026-10-11T15:09:42.129933485Z</x:v>
      </x:c>
      <x:c r="Q33" s="4" t="str">
        <x:v>UTC 2026-10-11T15:10:09.238303385Z</x:v>
      </x:c>
      <x:c r="R33" s="4" t="str">
        <x:v>8c25381425857764c613b477ca91d115e6939999</x:v>
      </x:c>
    </x:row>
    <x:row r="34" ht="25" customHeight="1">
      <x:c r="A34" s="4" t="str">
        <x:v>6389a638-6cb5-42c5-9cd0-4170c34ed323</x:v>
      </x:c>
      <x:c r="B34" s="4" t="str">
        <x:v>INITIAL_11_CASES</x:v>
      </x:c>
      <x:c r="C34" s="4" t="n">
        <x:v>2</x:v>
      </x:c>
      <x:c r="D34" s="4" t="str">
        <x:v>CREATE</x:v>
      </x:c>
      <x:c r="E34" s="4" t="str">
        <x:v>HTTP_RESPONSE</x:v>
      </x:c>
      <x:c r="F34" s="4" t="n">
        <x:v>201</x:v>
      </x:c>
      <x:c r="G34" s="8" t="n">
        <x:v>295.734012</x:v>
      </x:c>
      <x:c r="H34" s="8" t="n">
        <x:v>0.215228</x:v>
      </x:c>
      <x:c r="I34" s="8" t="n">
        <x:v>30000</x:v>
      </x:c>
      <x:c r="J34" s="4" t="n">
        <x:v>1</x:v>
      </x:c>
      <x:c r="K34" s="4" t="n">
        <x:v>0</x:v>
      </x:c>
      <x:c r="L34" s="4" t="n">
        <x:v>1</x:v>
      </x:c>
      <x:c r="M34" s="4"/>
      <x:c r="N34" s="4"/>
      <x:c r="O34" s="4" t="n">
        <x:v>0</x:v>
      </x:c>
      <x:c r="P34" s="4" t="str">
        <x:v>UTC 2026-10-11T15:10:09.244170504Z</x:v>
      </x:c>
      <x:c r="Q34" s="4" t="str">
        <x:v>UTC 2026-10-11T15:10:09.539906466Z</x:v>
      </x:c>
      <x:c r="R34" s="4" t="str">
        <x:v>8c25381425857764c613b477ca91d115e6939999</x:v>
      </x:c>
    </x:row>
    <x:row r="35" ht="25" customHeight="1">
      <x:c r="A35" s="4" t="str">
        <x:v>6389a638-6cb5-42c5-9cd0-4170c34ed323</x:v>
      </x:c>
      <x:c r="B35" s="4" t="str">
        <x:v>INITIAL_11_CASES</x:v>
      </x:c>
      <x:c r="C35" s="4" t="n">
        <x:v>3</x:v>
      </x:c>
      <x:c r="D35" s="4" t="str">
        <x:v>CREATE</x:v>
      </x:c>
      <x:c r="E35" s="4" t="str">
        <x:v>HTTP_RESPONSE</x:v>
      </x:c>
      <x:c r="F35" s="4" t="n">
        <x:v>201</x:v>
      </x:c>
      <x:c r="G35" s="8" t="n">
        <x:v>254.649637</x:v>
      </x:c>
      <x:c r="H35" s="8" t="n">
        <x:v>0.241557</x:v>
      </x:c>
      <x:c r="I35" s="8" t="n">
        <x:v>30000</x:v>
      </x:c>
      <x:c r="J35" s="4" t="n">
        <x:v>1</x:v>
      </x:c>
      <x:c r="K35" s="4" t="n">
        <x:v>0</x:v>
      </x:c>
      <x:c r="L35" s="4" t="n">
        <x:v>1</x:v>
      </x:c>
      <x:c r="M35" s="4"/>
      <x:c r="N35" s="4"/>
      <x:c r="O35" s="4" t="n">
        <x:v>0</x:v>
      </x:c>
      <x:c r="P35" s="4" t="str">
        <x:v>UTC 2026-10-11T15:10:11.545431134Z</x:v>
      </x:c>
      <x:c r="Q35" s="4" t="str">
        <x:v>UTC 2026-10-11T15:10:11.800084131Z</x:v>
      </x:c>
      <x:c r="R35" s="4" t="str">
        <x:v>8c25381425857764c613b477ca91d115e6939999</x:v>
      </x:c>
    </x:row>
    <x:row r="36" ht="25" customHeight="1">
      <x:c r="A36" s="4" t="str">
        <x:v>6389a638-6cb5-42c5-9cd0-4170c34ed323</x:v>
      </x:c>
      <x:c r="B36" s="4" t="str">
        <x:v>INITIAL_11_CASES</x:v>
      </x:c>
      <x:c r="C36" s="4" t="n">
        <x:v>4</x:v>
      </x:c>
      <x:c r="D36" s="4" t="str">
        <x:v>LIST</x:v>
      </x:c>
      <x:c r="E36" s="4" t="str">
        <x:v>HTTP_RESPONSE</x:v>
      </x:c>
      <x:c r="F36" s="4" t="n">
        <x:v>200</x:v>
      </x:c>
      <x:c r="G36" s="8" t="n">
        <x:v>533.70803</x:v>
      </x:c>
      <x:c r="H36" s="8" t="n">
        <x:v>0.157829</x:v>
      </x:c>
      <x:c r="I36" s="8" t="n">
        <x:v>30000</x:v>
      </x:c>
      <x:c r="J36" s="4" t="n">
        <x:v>1</x:v>
      </x:c>
      <x:c r="K36" s="4" t="n">
        <x:v>0</x:v>
      </x:c>
      <x:c r="L36" s="4" t="n">
        <x:v>1</x:v>
      </x:c>
      <x:c r="M36" s="4"/>
      <x:c r="N36" s="4"/>
      <x:c r="O36" s="4" t="n">
        <x:v>0</x:v>
      </x:c>
      <x:c r="P36" s="4" t="str">
        <x:v>UTC 2026-10-11T15:10:11.807164288Z</x:v>
      </x:c>
      <x:c r="Q36" s="4" t="str">
        <x:v>UTC 2026-10-11T15:10:12.340875018Z</x:v>
      </x:c>
      <x:c r="R36" s="4" t="str">
        <x:v>8c25381425857764c613b477ca91d115e6939999</x:v>
      </x:c>
    </x:row>
    <x:row r="37" ht="25" customHeight="1">
      <x:c r="A37" s="4" t="str">
        <x:v>da9e2620-c41a-4997-a4eb-9403b35dd6df</x:v>
      </x:c>
      <x:c r="B37" s="4" t="str">
        <x:v>INITIAL_11_CASES</x:v>
      </x:c>
      <x:c r="C37" s="4" t="n">
        <x:v>1</x:v>
      </x:c>
      <x:c r="D37" s="4" t="str">
        <x:v>LIST</x:v>
      </x:c>
      <x:c r="E37" s="4" t="str">
        <x:v>HTTP_RESPONSE</x:v>
      </x:c>
      <x:c r="F37" s="4" t="n">
        <x:v>200</x:v>
      </x:c>
      <x:c r="G37" s="8" t="n">
        <x:v>780.453178</x:v>
      </x:c>
      <x:c r="H37" s="8" t="n">
        <x:v>0.154138</x:v>
      </x:c>
      <x:c r="I37" s="8" t="n">
        <x:v>30000</x:v>
      </x:c>
      <x:c r="J37" s="4" t="n">
        <x:v>1</x:v>
      </x:c>
      <x:c r="K37" s="4" t="n">
        <x:v>0</x:v>
      </x:c>
      <x:c r="L37" s="4" t="n">
        <x:v>1</x:v>
      </x:c>
      <x:c r="M37" s="4"/>
      <x:c r="N37" s="4"/>
      <x:c r="O37" s="4" t="n">
        <x:v>0</x:v>
      </x:c>
      <x:c r="P37" s="4" t="str">
        <x:v>UTC 2026-10-11T15:10:15.458342085Z</x:v>
      </x:c>
      <x:c r="Q37" s="4" t="str">
        <x:v>UTC 2026-10-11T15:10:16.238800793Z</x:v>
      </x:c>
      <x:c r="R37" s="4" t="str">
        <x:v>8c25381425857764c613b477ca91d115e6939999</x:v>
      </x:c>
    </x:row>
    <x:row r="38" ht="25" customHeight="1">
      <x:c r="A38" s="4" t="str">
        <x:v>da9e2620-c41a-4997-a4eb-9403b35dd6df</x:v>
      </x:c>
      <x:c r="B38" s="4" t="str">
        <x:v>INITIAL_11_CASES</x:v>
      </x:c>
      <x:c r="C38" s="4" t="n">
        <x:v>2</x:v>
      </x:c>
      <x:c r="D38" s="4" t="str">
        <x:v>CREATE</x:v>
      </x:c>
      <x:c r="E38" s="4" t="str">
        <x:v>HTTP_RESPONSE</x:v>
      </x:c>
      <x:c r="F38" s="4" t="n">
        <x:v>201</x:v>
      </x:c>
      <x:c r="G38" s="8" t="n">
        <x:v>231.830223</x:v>
      </x:c>
      <x:c r="H38" s="8" t="n">
        <x:v>0.167518</x:v>
      </x:c>
      <x:c r="I38" s="8" t="n">
        <x:v>30000</x:v>
      </x:c>
      <x:c r="J38" s="4" t="n">
        <x:v>1</x:v>
      </x:c>
      <x:c r="K38" s="4" t="n">
        <x:v>0</x:v>
      </x:c>
      <x:c r="L38" s="4" t="n">
        <x:v>1</x:v>
      </x:c>
      <x:c r="M38" s="4"/>
      <x:c r="N38" s="4"/>
      <x:c r="O38" s="4" t="n">
        <x:v>0</x:v>
      </x:c>
      <x:c r="P38" s="4" t="str">
        <x:v>UTC 2026-10-11T15:10:16.246975008Z</x:v>
      </x:c>
      <x:c r="Q38" s="4" t="str">
        <x:v>UTC 2026-10-11T15:10:16.478811441Z</x:v>
      </x:c>
      <x:c r="R38" s="4" t="str">
        <x:v>8c25381425857764c613b477ca91d115e6939999</x:v>
      </x:c>
    </x:row>
    <x:row r="39" ht="25" customHeight="1">
      <x:c r="A39" s="4" t="str">
        <x:v>da9e2620-c41a-4997-a4eb-9403b35dd6df</x:v>
      </x:c>
      <x:c r="B39" s="4" t="str">
        <x:v>INITIAL_11_CASES</x:v>
      </x:c>
      <x:c r="C39" s="4" t="n">
        <x:v>3</x:v>
      </x:c>
      <x:c r="D39" s="4" t="str">
        <x:v>CREATE</x:v>
      </x:c>
      <x:c r="E39" s="4" t="str">
        <x:v>HTTP_RESPONSE</x:v>
      </x:c>
      <x:c r="F39" s="4" t="n">
        <x:v>201</x:v>
      </x:c>
      <x:c r="G39" s="8" t="n">
        <x:v>212.68973</x:v>
      </x:c>
      <x:c r="H39" s="8" t="n">
        <x:v>0.258158</x:v>
      </x:c>
      <x:c r="I39" s="8" t="n">
        <x:v>30000</x:v>
      </x:c>
      <x:c r="J39" s="4" t="n">
        <x:v>1</x:v>
      </x:c>
      <x:c r="K39" s="4" t="n">
        <x:v>0</x:v>
      </x:c>
      <x:c r="L39" s="4" t="n">
        <x:v>1</x:v>
      </x:c>
      <x:c r="M39" s="4"/>
      <x:c r="N39" s="4"/>
      <x:c r="O39" s="4" t="n">
        <x:v>0</x:v>
      </x:c>
      <x:c r="P39" s="4" t="str">
        <x:v>UTC 2026-10-11T15:10:18.485387246Z</x:v>
      </x:c>
      <x:c r="Q39" s="4" t="str">
        <x:v>UTC 2026-10-11T15:10:18.698080026Z</x:v>
      </x:c>
      <x:c r="R39" s="4" t="str">
        <x:v>8c25381425857764c613b477ca91d115e6939999</x:v>
      </x:c>
    </x:row>
    <x:row r="40" ht="25" customHeight="1">
      <x:c r="A40" s="4" t="str">
        <x:v>da9e2620-c41a-4997-a4eb-9403b35dd6df</x:v>
      </x:c>
      <x:c r="B40" s="4" t="str">
        <x:v>INITIAL_11_CASES</x:v>
      </x:c>
      <x:c r="C40" s="4" t="n">
        <x:v>4</x:v>
      </x:c>
      <x:c r="D40" s="4" t="str">
        <x:v>LIST</x:v>
      </x:c>
      <x:c r="E40" s="4" t="str">
        <x:v>HTTP_RESPONSE</x:v>
      </x:c>
      <x:c r="F40" s="4" t="n">
        <x:v>500</x:v>
      </x:c>
      <x:c r="G40" s="8" t="n">
        <x:v>213.199435</x:v>
      </x:c>
      <x:c r="H40" s="8" t="n">
        <x:v>0.114409</x:v>
      </x:c>
      <x:c r="I40" s="8" t="n">
        <x:v>30000</x:v>
      </x:c>
      <x:c r="J40" s="4" t="n">
        <x:v>1</x:v>
      </x:c>
      <x:c r="K40" s="4" t="n">
        <x:v>0</x:v>
      </x:c>
      <x:c r="L40" s="4" t="n">
        <x:v>1</x:v>
      </x:c>
      <x:c r="M40" s="4"/>
      <x:c r="N40" s="4"/>
      <x:c r="O40" s="4" t="n">
        <x:v>0</x:v>
      </x:c>
      <x:c r="P40" s="4" t="str">
        <x:v>UTC 2026-10-11T15:10:18.706638797Z</x:v>
      </x:c>
      <x:c r="Q40" s="4" t="str">
        <x:v>UTC 2026-10-11T15:10:18.919842922Z</x:v>
      </x:c>
      <x:c r="R40" s="4" t="str">
        <x:v>8c25381425857764c613b477ca91d115e6939999</x:v>
      </x:c>
    </x:row>
    <x:row r="41" ht="25" customHeight="1">
      <x:c r="A41" s="4" t="str">
        <x:v>2f8c0183-c5eb-4632-b161-b57c6eb95042</x:v>
      </x:c>
      <x:c r="B41" s="4" t="str">
        <x:v>INITIAL_11_CASES</x:v>
      </x:c>
      <x:c r="C41" s="4" t="n">
        <x:v>1</x:v>
      </x:c>
      <x:c r="D41" s="4" t="str">
        <x:v>LIST</x:v>
      </x:c>
      <x:c r="E41" s="4" t="str">
        <x:v>HTTP_RESPONSE</x:v>
      </x:c>
      <x:c r="F41" s="4" t="n">
        <x:v>500</x:v>
      </x:c>
      <x:c r="G41" s="8" t="n">
        <x:v>1076.649343</x:v>
      </x:c>
      <x:c r="H41" s="8" t="n">
        <x:v>0.146958</x:v>
      </x:c>
      <x:c r="I41" s="8" t="n">
        <x:v>10000</x:v>
      </x:c>
      <x:c r="J41" s="4" t="n">
        <x:v>1</x:v>
      </x:c>
      <x:c r="K41" s="4" t="n">
        <x:v>0</x:v>
      </x:c>
      <x:c r="L41" s="4" t="n">
        <x:v>1</x:v>
      </x:c>
      <x:c r="M41" s="4"/>
      <x:c r="N41" s="4"/>
      <x:c r="O41" s="4" t="n">
        <x:v>0</x:v>
      </x:c>
      <x:c r="P41" s="4" t="str">
        <x:v>UTC 2026-10-11T15:14:45.621189466Z</x:v>
      </x:c>
      <x:c r="Q41" s="4" t="str">
        <x:v>UTC 2026-10-11T15:14:46.697844759Z</x:v>
      </x:c>
      <x:c r="R41" s="4" t="str">
        <x:v>8c25381425857764c613b477ca91d115e6939999</x:v>
      </x:c>
    </x:row>
    <x:row r="42" ht="25" customHeight="1">
      <x:c r="A42" s="4" t="str">
        <x:v>d2381c7b-c97b-492c-b233-1838492c46b7</x:v>
      </x:c>
      <x:c r="B42" s="4" t="str">
        <x:v>INITIAL_11_CASES</x:v>
      </x:c>
      <x:c r="C42" s="4" t="n">
        <x:v>1</x:v>
      </x:c>
      <x:c r="D42" s="4" t="str">
        <x:v>LIST</x:v>
      </x:c>
      <x:c r="E42" s="4" t="str">
        <x:v>HTTP_RESPONSE</x:v>
      </x:c>
      <x:c r="F42" s="4" t="n">
        <x:v>500</x:v>
      </x:c>
      <x:c r="G42" s="8" t="n">
        <x:v>641.909877</x:v>
      </x:c>
      <x:c r="H42" s="8" t="n">
        <x:v>0.127158</x:v>
      </x:c>
      <x:c r="I42" s="8" t="n">
        <x:v>10000</x:v>
      </x:c>
      <x:c r="J42" s="4" t="n">
        <x:v>2</x:v>
      </x:c>
      <x:c r="K42" s="4" t="n">
        <x:v>0</x:v>
      </x:c>
      <x:c r="L42" s="4" t="n">
        <x:v>2</x:v>
      </x:c>
      <x:c r="M42" s="4"/>
      <x:c r="N42" s="4"/>
      <x:c r="O42" s="4" t="n">
        <x:v>0</x:v>
      </x:c>
      <x:c r="P42" s="4" t="str">
        <x:v>UTC 2026-10-11T15:17:18.321029111Z</x:v>
      </x:c>
      <x:c r="Q42" s="4" t="str">
        <x:v>UTC 2026-10-11T15:17:18.962943408Z</x:v>
      </x:c>
      <x:c r="R42" s="4" t="str">
        <x:v>8c25381425857764c613b477ca91d115e6939999</x:v>
      </x:c>
    </x:row>
    <x:row r="43" ht="25" customHeight="1">
      <x:c r="A43" s="4" t="str">
        <x:v>d2381c7b-c97b-492c-b233-1838492c46b7</x:v>
      </x:c>
      <x:c r="B43" s="4" t="str">
        <x:v>INITIAL_11_CASES</x:v>
      </x:c>
      <x:c r="C43" s="4" t="n">
        <x:v>2</x:v>
      </x:c>
      <x:c r="D43" s="4" t="str">
        <x:v>LIST</x:v>
      </x:c>
      <x:c r="E43" s="4" t="str">
        <x:v>HTTP_RESPONSE</x:v>
      </x:c>
      <x:c r="F43" s="4" t="n">
        <x:v>500</x:v>
      </x:c>
      <x:c r="G43" s="8" t="n">
        <x:v>615.335603</x:v>
      </x:c>
      <x:c r="H43" s="8" t="n">
        <x:v>0.127809</x:v>
      </x:c>
      <x:c r="I43" s="8" t="n">
        <x:v>10000</x:v>
      </x:c>
      <x:c r="J43" s="4" t="n">
        <x:v>2</x:v>
      </x:c>
      <x:c r="K43" s="4" t="n">
        <x:v>0</x:v>
      </x:c>
      <x:c r="L43" s="4" t="n">
        <x:v>2</x:v>
      </x:c>
      <x:c r="M43" s="4"/>
      <x:c r="N43" s="4"/>
      <x:c r="O43" s="4" t="n">
        <x:v>0</x:v>
      </x:c>
      <x:c r="P43" s="4" t="str">
        <x:v>UTC 2026-10-11T15:17:18.321094961Z</x:v>
      </x:c>
      <x:c r="Q43" s="4" t="str">
        <x:v>UTC 2026-10-11T15:17:18.936432444Z</x:v>
      </x:c>
      <x:c r="R43" s="4" t="str">
        <x:v>8c25381425857764c613b477ca91d115e6939999</x:v>
      </x:c>
    </x:row>
    <x:row r="44" ht="25" customHeight="1">
      <x:c r="A44" s="4" t="str">
        <x:v>489e33c1-cc4b-4921-a081-350bb185fbd5</x:v>
      </x:c>
      <x:c r="B44" s="4" t="str">
        <x:v>INITIAL_11_CASES</x:v>
      </x:c>
      <x:c r="C44" s="4" t="n">
        <x:v>1</x:v>
      </x:c>
      <x:c r="D44" s="4" t="str">
        <x:v>LIST</x:v>
      </x:c>
      <x:c r="E44" s="4" t="str">
        <x:v>HTTP_RESPONSE</x:v>
      </x:c>
      <x:c r="F44" s="4" t="n">
        <x:v>500</x:v>
      </x:c>
      <x:c r="G44" s="8" t="n">
        <x:v>927.319343</x:v>
      </x:c>
      <x:c r="H44" s="8" t="n">
        <x:v>0.140059</x:v>
      </x:c>
      <x:c r="I44" s="8" t="n">
        <x:v>10000</x:v>
      </x:c>
      <x:c r="J44" s="4" t="n">
        <x:v>3</x:v>
      </x:c>
      <x:c r="K44" s="4" t="n">
        <x:v>0</x:v>
      </x:c>
      <x:c r="L44" s="4" t="n">
        <x:v>3</x:v>
      </x:c>
      <x:c r="M44" s="4"/>
      <x:c r="N44" s="4"/>
      <x:c r="O44" s="4" t="n">
        <x:v>0</x:v>
      </x:c>
      <x:c r="P44" s="4" t="str">
        <x:v>UTC 2026-10-11T15:22:41.598178764Z</x:v>
      </x:c>
      <x:c r="Q44" s="4" t="str">
        <x:v>UTC 2026-10-11T15:22:42.525500667Z</x:v>
      </x:c>
      <x:c r="R44" s="4" t="str">
        <x:v>8c25381425857764c613b477ca91d115e6939999</x:v>
      </x:c>
    </x:row>
    <x:row r="45" ht="25" customHeight="1">
      <x:c r="A45" s="4" t="str">
        <x:v>489e33c1-cc4b-4921-a081-350bb185fbd5</x:v>
      </x:c>
      <x:c r="B45" s="4" t="str">
        <x:v>INITIAL_11_CASES</x:v>
      </x:c>
      <x:c r="C45" s="4" t="n">
        <x:v>2</x:v>
      </x:c>
      <x:c r="D45" s="4" t="str">
        <x:v>LIST</x:v>
      </x:c>
      <x:c r="E45" s="4" t="str">
        <x:v>HTTP_RESPONSE</x:v>
      </x:c>
      <x:c r="F45" s="4" t="n">
        <x:v>500</x:v>
      </x:c>
      <x:c r="G45" s="8" t="n">
        <x:v>639.148874</x:v>
      </x:c>
      <x:c r="H45" s="8" t="n">
        <x:v>0.092619</x:v>
      </x:c>
      <x:c r="I45" s="8" t="n">
        <x:v>10000</x:v>
      </x:c>
      <x:c r="J45" s="4" t="n">
        <x:v>3</x:v>
      </x:c>
      <x:c r="K45" s="4" t="n">
        <x:v>0</x:v>
      </x:c>
      <x:c r="L45" s="4" t="n">
        <x:v>3</x:v>
      </x:c>
      <x:c r="M45" s="4"/>
      <x:c r="N45" s="4"/>
      <x:c r="O45" s="4" t="n">
        <x:v>0</x:v>
      </x:c>
      <x:c r="P45" s="4" t="str">
        <x:v>UTC 2026-10-11T15:22:41.598178794Z</x:v>
      </x:c>
      <x:c r="Q45" s="4" t="str">
        <x:v>UTC 2026-10-11T15:22:42.237330358Z</x:v>
      </x:c>
      <x:c r="R45" s="4" t="str">
        <x:v>8c25381425857764c613b477ca91d115e6939999</x:v>
      </x:c>
    </x:row>
    <x:row r="46" ht="25" customHeight="1">
      <x:c r="A46" s="4" t="str">
        <x:v>489e33c1-cc4b-4921-a081-350bb185fbd5</x:v>
      </x:c>
      <x:c r="B46" s="4" t="str">
        <x:v>INITIAL_11_CASES</x:v>
      </x:c>
      <x:c r="C46" s="4" t="n">
        <x:v>3</x:v>
      </x:c>
      <x:c r="D46" s="4" t="str">
        <x:v>LIST</x:v>
      </x:c>
      <x:c r="E46" s="4" t="str">
        <x:v>HTTP_RESPONSE</x:v>
      </x:c>
      <x:c r="F46" s="4" t="n">
        <x:v>500</x:v>
      </x:c>
      <x:c r="G46" s="8" t="n">
        <x:v>617.826067</x:v>
      </x:c>
      <x:c r="H46" s="8" t="n">
        <x:v>0.062689</x:v>
      </x:c>
      <x:c r="I46" s="8" t="n">
        <x:v>10000</x:v>
      </x:c>
      <x:c r="J46" s="4" t="n">
        <x:v>3</x:v>
      </x:c>
      <x:c r="K46" s="4" t="n">
        <x:v>0</x:v>
      </x:c>
      <x:c r="L46" s="4" t="n">
        <x:v>3</x:v>
      </x:c>
      <x:c r="M46" s="4"/>
      <x:c r="N46" s="4"/>
      <x:c r="O46" s="4" t="n">
        <x:v>0</x:v>
      </x:c>
      <x:c r="P46" s="4" t="str">
        <x:v>UTC 2026-10-11T15:22:41.598221143Z</x:v>
      </x:c>
      <x:c r="Q46" s="4" t="str">
        <x:v>UTC 2026-10-11T15:22:42.216049600Z</x:v>
      </x:c>
      <x:c r="R46" s="4" t="str">
        <x:v>8c25381425857764c613b477ca91d115e6939999</x:v>
      </x:c>
    </x:row>
    <x:row r="47" ht="25" customHeight="1">
      <x:c r="A47" s="4" t="str">
        <x:v>b3d7fb89-4ca3-4e80-a639-d0b42015a8bb</x:v>
      </x:c>
      <x:c r="B47" s="4" t="str">
        <x:v>OTHER_EXPLORATORY</x:v>
      </x:c>
      <x:c r="C47" s="4" t="n">
        <x:v>1</x:v>
      </x:c>
      <x:c r="D47" s="4" t="str">
        <x:v>LIST</x:v>
      </x:c>
      <x:c r="E47" s="4" t="str">
        <x:v>HTTP_RESPONSE</x:v>
      </x:c>
      <x:c r="F47" s="4" t="n">
        <x:v>200</x:v>
      </x:c>
      <x:c r="G47" s="8" t="n">
        <x:v>7961.795426</x:v>
      </x:c>
      <x:c r="H47" s="8" t="n">
        <x:v>1.006778</x:v>
      </x:c>
      <x:c r="I47" s="8" t="n">
        <x:v>30000</x:v>
      </x:c>
      <x:c r="J47" s="4" t="n">
        <x:v>1</x:v>
      </x:c>
      <x:c r="K47" s="4" t="n">
        <x:v>0</x:v>
      </x:c>
      <x:c r="L47" s="4" t="n">
        <x:v>1</x:v>
      </x:c>
      <x:c r="M47" s="4"/>
      <x:c r="N47" s="4"/>
      <x:c r="O47" s="4" t="n">
        <x:v>0</x:v>
      </x:c>
      <x:c r="P47" s="4" t="str">
        <x:v>UTC 2026-10-11T16:29:43.837994479Z</x:v>
      </x:c>
      <x:c r="Q47" s="4" t="str">
        <x:v>UTC 2026-10-11T16:29:51.799786705Z</x:v>
      </x:c>
      <x:c r="R47" s="4" t="str">
        <x:v>7d6401751cc839036f4c945d03166f7082bb6a23</x:v>
      </x:c>
    </x:row>
    <x:row r="48" ht="25" customHeight="1">
      <x:c r="A48" s="4" t="str">
        <x:v>b3d7fb89-4ca3-4e80-a639-d0b42015a8bb</x:v>
      </x:c>
      <x:c r="B48" s="4" t="str">
        <x:v>OTHER_EXPLORATORY</x:v>
      </x:c>
      <x:c r="C48" s="4" t="n">
        <x:v>2</x:v>
      </x:c>
      <x:c r="D48" s="4" t="str">
        <x:v>LIST</x:v>
      </x:c>
      <x:c r="E48" s="4" t="str">
        <x:v>HTTP_RESPONSE</x:v>
      </x:c>
      <x:c r="F48" s="4" t="n">
        <x:v>500</x:v>
      </x:c>
      <x:c r="G48" s="8" t="n">
        <x:v>241.805062</x:v>
      </x:c>
      <x:c r="H48" s="8" t="n">
        <x:v>0.28092</x:v>
      </x:c>
      <x:c r="I48" s="8" t="n">
        <x:v>30000</x:v>
      </x:c>
      <x:c r="J48" s="4" t="n">
        <x:v>1</x:v>
      </x:c>
      <x:c r="K48" s="4" t="n">
        <x:v>0</x:v>
      </x:c>
      <x:c r="L48" s="4" t="n">
        <x:v>1</x:v>
      </x:c>
      <x:c r="M48" s="4"/>
      <x:c r="N48" s="4"/>
      <x:c r="O48" s="4" t="n">
        <x:v>0</x:v>
      </x:c>
      <x:c r="P48" s="4" t="str">
        <x:v>UTC 2026-10-11T16:29:53.818196538Z</x:v>
      </x:c>
      <x:c r="Q48" s="4" t="str">
        <x:v>UTC 2026-10-11T16:29:54.060008800Z</x:v>
      </x:c>
      <x:c r="R48" s="4" t="str">
        <x:v>7d6401751cc839036f4c945d03166f7082bb6a23</x:v>
      </x:c>
    </x:row>
    <x:row r="49" ht="25" customHeight="1">
      <x:c r="A49" s="4" t="str">
        <x:v>5a194a1c-824c-41c7-a581-cb9da902ee5f</x:v>
      </x:c>
      <x:c r="B49" s="4" t="str">
        <x:v>OTHER_EXPLORATORY</x:v>
      </x:c>
      <x:c r="C49" s="4" t="n">
        <x:v>1</x:v>
      </x:c>
      <x:c r="D49" s="4" t="str">
        <x:v>LIST</x:v>
      </x:c>
      <x:c r="E49" s="4" t="str">
        <x:v>REQUEST_TIMEOUT</x:v>
      </x:c>
      <x:c r="F49" s="4"/>
      <x:c r="G49" s="8" t="n">
        <x:v>30002.254053</x:v>
      </x:c>
      <x:c r="H49" s="8" t="n">
        <x:v>0.11382</x:v>
      </x:c>
      <x:c r="I49" s="8" t="n">
        <x:v>30000</x:v>
      </x:c>
      <x:c r="J49" s="4" t="n">
        <x:v>1</x:v>
      </x:c>
      <x:c r="K49" s="4" t="n">
        <x:v>0</x:v>
      </x:c>
      <x:c r="L49" s="4" t="n">
        <x:v>1</x:v>
      </x:c>
      <x:c r="M49" s="4"/>
      <x:c r="N49" s="4"/>
      <x:c r="O49" s="4" t="n">
        <x:v>0</x:v>
      </x:c>
      <x:c r="P49" s="4" t="str">
        <x:v>UTC 2026-10-11T16:37:30.869984390Z</x:v>
      </x:c>
      <x:c r="Q49" s="4" t="str">
        <x:v>UTC 2026-10-11T16:38:00.872241453Z</x:v>
      </x:c>
      <x:c r="R49" s="4" t="str">
        <x:v>7d6401751cc839036f4c945d03166f7082bb6a23</x:v>
      </x:c>
    </x:row>
    <x:row r="50" ht="25" customHeight="1">
      <x:c r="A50" s="4" t="str">
        <x:v>4bfb484c-0b9d-4515-91d7-5f11b9c9cda1</x:v>
      </x:c>
      <x:c r="B50" s="4" t="str">
        <x:v>OTHER_EXPLORATORY</x:v>
      </x:c>
      <x:c r="C50" s="4" t="n">
        <x:v>1</x:v>
      </x:c>
      <x:c r="D50" s="4" t="str">
        <x:v>LIST</x:v>
      </x:c>
      <x:c r="E50" s="4" t="str">
        <x:v>HTTP_RESPONSE</x:v>
      </x:c>
      <x:c r="F50" s="4" t="n">
        <x:v>500</x:v>
      </x:c>
      <x:c r="G50" s="8" t="n">
        <x:v>1255.90744</x:v>
      </x:c>
      <x:c r="H50" s="8" t="n">
        <x:v>0.13603</x:v>
      </x:c>
      <x:c r="I50" s="8" t="n">
        <x:v>30000</x:v>
      </x:c>
      <x:c r="J50" s="4" t="n">
        <x:v>1</x:v>
      </x:c>
      <x:c r="K50" s="4" t="n">
        <x:v>0</x:v>
      </x:c>
      <x:c r="L50" s="4" t="n">
        <x:v>1</x:v>
      </x:c>
      <x:c r="M50" s="4"/>
      <x:c r="N50" s="4"/>
      <x:c r="O50" s="4" t="n">
        <x:v>0</x:v>
      </x:c>
      <x:c r="P50" s="4" t="str">
        <x:v>UTC 2026-10-11T16:44:07.113623477Z</x:v>
      </x:c>
      <x:c r="Q50" s="4" t="str">
        <x:v>UTC 2026-10-11T16:44:08.369535857Z</x:v>
      </x:c>
      <x:c r="R50" s="4" t="str">
        <x:v>7d6401751cc839036f4c945d03166f7082bb6a23</x:v>
      </x:c>
    </x:row>
    <x:row r="51" ht="25" customHeight="1">
      <x:c r="A51" s="4" t="str">
        <x:v>3f350177-709e-4394-aa6a-4d129c56dedd</x:v>
      </x:c>
      <x:c r="B51" s="4" t="str">
        <x:v>OTHER_EXPLORATORY</x:v>
      </x:c>
      <x:c r="C51" s="4" t="n">
        <x:v>1</x:v>
      </x:c>
      <x:c r="D51" s="4" t="str">
        <x:v>LIST</x:v>
      </x:c>
      <x:c r="E51" s="4" t="str">
        <x:v>HTTP_RESPONSE</x:v>
      </x:c>
      <x:c r="F51" s="4" t="n">
        <x:v>503</x:v>
      </x:c>
      <x:c r="G51" s="8" t="n">
        <x:v>1282.481754</x:v>
      </x:c>
      <x:c r="H51" s="8" t="n">
        <x:v>0.127009</x:v>
      </x:c>
      <x:c r="I51" s="8" t="n">
        <x:v>30000</x:v>
      </x:c>
      <x:c r="J51" s="4" t="n">
        <x:v>1</x:v>
      </x:c>
      <x:c r="K51" s="4" t="n">
        <x:v>0</x:v>
      </x:c>
      <x:c r="L51" s="4" t="n">
        <x:v>1</x:v>
      </x:c>
      <x:c r="M51" s="4"/>
      <x:c r="N51" s="4" t="n">
        <x:v>30000</x:v>
      </x:c>
      <x:c r="O51" s="4" t="n">
        <x:v>0</x:v>
      </x:c>
      <x:c r="P51" s="4" t="str">
        <x:v>UTC 2026-10-11T16:50:32.868667390Z</x:v>
      </x:c>
      <x:c r="Q51" s="4" t="str">
        <x:v>UTC 2026-10-11T16:50:34.151150944Z</x:v>
      </x:c>
      <x:c r="R51" s="4" t="str">
        <x:v>7d6401751cc839036f4c945d03166f7082bb6a23</x:v>
      </x:c>
    </x:row>
    <x:row r="52" ht="25" customHeight="1">
      <x:c r="A52" s="4" t="str">
        <x:v>f0acb2f8-e05e-40f6-814e-3e3f8ebfdb73</x:v>
      </x:c>
      <x:c r="B52" s="4" t="str">
        <x:v>OTHER_EXPLORATORY</x:v>
      </x:c>
      <x:c r="C52" s="4" t="n">
        <x:v>1</x:v>
      </x:c>
      <x:c r="D52" s="4" t="str">
        <x:v>LIST</x:v>
      </x:c>
      <x:c r="E52" s="4" t="str">
        <x:v>HTTP_RESPONSE</x:v>
      </x:c>
      <x:c r="F52" s="4" t="n">
        <x:v>500</x:v>
      </x:c>
      <x:c r="G52" s="8" t="n">
        <x:v>855.581419</x:v>
      </x:c>
      <x:c r="H52" s="8" t="n">
        <x:v>0.12115</x:v>
      </x:c>
      <x:c r="I52" s="8" t="n">
        <x:v>30000</x:v>
      </x:c>
      <x:c r="J52" s="4" t="n">
        <x:v>1</x:v>
      </x:c>
      <x:c r="K52" s="4" t="n">
        <x:v>0</x:v>
      </x:c>
      <x:c r="L52" s="4" t="n">
        <x:v>1</x:v>
      </x:c>
      <x:c r="M52" s="4"/>
      <x:c r="N52" s="4"/>
      <x:c r="O52" s="4" t="n">
        <x:v>0</x:v>
      </x:c>
      <x:c r="P52" s="4" t="str">
        <x:v>UTC 2026-10-11T16:55:24.651527455Z</x:v>
      </x:c>
      <x:c r="Q52" s="4" t="str">
        <x:v>UTC 2026-10-11T16:55:25.507113084Z</x:v>
      </x:c>
      <x:c r="R52" s="4" t="str">
        <x:v>7d6401751cc839036f4c945d03166f7082bb6a23</x:v>
      </x:c>
    </x:row>
    <x:row r="53" ht="25" customHeight="1">
      <x:c r="A53" s="4" t="str">
        <x:v>af283831-9960-4b48-a7ca-612720d4e20f</x:v>
      </x:c>
      <x:c r="B53" s="4" t="str">
        <x:v>FOLLOWUP_130_HTTP</x:v>
      </x:c>
      <x:c r="C53" s="4" t="n">
        <x:v>1</x:v>
      </x:c>
      <x:c r="D53" s="4" t="str">
        <x:v>LIST</x:v>
      </x:c>
      <x:c r="E53" s="4" t="str">
        <x:v>HTTP_RESPONSE</x:v>
      </x:c>
      <x:c r="F53" s="4" t="n">
        <x:v>503</x:v>
      </x:c>
      <x:c r="G53" s="8" t="n">
        <x:v>1287.312665</x:v>
      </x:c>
      <x:c r="H53" s="8" t="n">
        <x:v>0.159669</x:v>
      </x:c>
      <x:c r="I53" s="8" t="n">
        <x:v>30000</x:v>
      </x:c>
      <x:c r="J53" s="4" t="n">
        <x:v>1</x:v>
      </x:c>
      <x:c r="K53" s="4" t="n">
        <x:v>0</x:v>
      </x:c>
      <x:c r="L53" s="4" t="n">
        <x:v>1</x:v>
      </x:c>
      <x:c r="M53" s="4"/>
      <x:c r="N53" s="4" t="n">
        <x:v>30000</x:v>
      </x:c>
      <x:c r="O53" s="4" t="n">
        <x:v>0</x:v>
      </x:c>
      <x:c r="P53" s="4" t="str">
        <x:v>UTC 2026-10-11T17:08:33.733360425Z</x:v>
      </x:c>
      <x:c r="Q53" s="4" t="str">
        <x:v>UTC 2026-10-11T17:08:35.020673720Z</x:v>
      </x:c>
      <x:c r="R53" s="4" t="str">
        <x:v>7d6401751cc839036f4c945d03166f7082bb6a23</x:v>
      </x:c>
    </x:row>
    <x:row r="54" ht="25" customHeight="1">
      <x:c r="A54" s="4" t="str">
        <x:v>9a1de23e-044b-49f9-aba4-6dc2e60323b9</x:v>
      </x:c>
      <x:c r="B54" s="4" t="str">
        <x:v>FOLLOWUP_130_HTTP</x:v>
      </x:c>
      <x:c r="C54" s="4" t="n">
        <x:v>1</x:v>
      </x:c>
      <x:c r="D54" s="4" t="str">
        <x:v>LIST</x:v>
      </x:c>
      <x:c r="E54" s="4" t="str">
        <x:v>HTTP_RESPONSE</x:v>
      </x:c>
      <x:c r="F54" s="4" t="n">
        <x:v>200</x:v>
      </x:c>
      <x:c r="G54" s="8" t="n">
        <x:v>26891.230167</x:v>
      </x:c>
      <x:c r="H54" s="8" t="n">
        <x:v>0.15493</x:v>
      </x:c>
      <x:c r="I54" s="8" t="n">
        <x:v>30000</x:v>
      </x:c>
      <x:c r="J54" s="4" t="n">
        <x:v>1</x:v>
      </x:c>
      <x:c r="K54" s="4" t="n">
        <x:v>0</x:v>
      </x:c>
      <x:c r="L54" s="4" t="n">
        <x:v>1</x:v>
      </x:c>
      <x:c r="M54" s="4"/>
      <x:c r="N54" s="4"/>
      <x:c r="O54" s="4" t="n">
        <x:v>0</x:v>
      </x:c>
      <x:c r="P54" s="4" t="str">
        <x:v>UTC 2026-10-11T17:10:04.189087453Z</x:v>
      </x:c>
      <x:c r="Q54" s="4" t="str">
        <x:v>UTC 2026-10-11T17:10:31.080321510Z</x:v>
      </x:c>
      <x:c r="R54" s="4" t="str">
        <x:v>7d6401751cc839036f4c945d03166f7082bb6a23</x:v>
      </x:c>
    </x:row>
    <x:row r="55" ht="25" customHeight="1">
      <x:c r="A55" s="4" t="str">
        <x:v>36a7e27c-3067-4620-a8db-e0690228ff33</x:v>
      </x:c>
      <x:c r="B55" s="4" t="str">
        <x:v>FOLLOWUP_130_HTTP</x:v>
      </x:c>
      <x:c r="C55" s="4" t="n">
        <x:v>1</x:v>
      </x:c>
      <x:c r="D55" s="4" t="str">
        <x:v>LIST</x:v>
      </x:c>
      <x:c r="E55" s="4" t="str">
        <x:v>REQUEST_TIMEOUT</x:v>
      </x:c>
      <x:c r="F55" s="4"/>
      <x:c r="G55" s="8" t="n">
        <x:v>30001.970011</x:v>
      </x:c>
      <x:c r="H55" s="8" t="n">
        <x:v>0.14099</x:v>
      </x:c>
      <x:c r="I55" s="8" t="n">
        <x:v>30000</x:v>
      </x:c>
      <x:c r="J55" s="4" t="n">
        <x:v>1</x:v>
      </x:c>
      <x:c r="K55" s="4" t="n">
        <x:v>0</x:v>
      </x:c>
      <x:c r="L55" s="4" t="n">
        <x:v>1</x:v>
      </x:c>
      <x:c r="M55" s="4"/>
      <x:c r="N55" s="4"/>
      <x:c r="O55" s="4" t="n">
        <x:v>0</x:v>
      </x:c>
      <x:c r="P55" s="4" t="str">
        <x:v>UTC 2026-10-11T17:11:03.523758637Z</x:v>
      </x:c>
      <x:c r="Q55" s="4" t="str">
        <x:v>UTC 2026-10-11T17:11:33.525731978Z</x:v>
      </x:c>
      <x:c r="R55" s="4" t="str">
        <x:v>7d6401751cc839036f4c945d03166f7082bb6a23</x:v>
      </x:c>
    </x:row>
    <x:row r="56" ht="25" customHeight="1">
      <x:c r="A56" s="4" t="str">
        <x:v>fa596d81-c243-483c-bf12-8df0a40f2ea1</x:v>
      </x:c>
      <x:c r="B56" s="4" t="str">
        <x:v>FOLLOWUP_130_HTTP</x:v>
      </x:c>
      <x:c r="C56" s="4" t="n">
        <x:v>1</x:v>
      </x:c>
      <x:c r="D56" s="4" t="str">
        <x:v>LIST</x:v>
      </x:c>
      <x:c r="E56" s="4" t="str">
        <x:v>HTTP_RESPONSE</x:v>
      </x:c>
      <x:c r="F56" s="4" t="n">
        <x:v>200</x:v>
      </x:c>
      <x:c r="G56" s="8" t="n">
        <x:v>17431.487845</x:v>
      </x:c>
      <x:c r="H56" s="8" t="n">
        <x:v>0.14667</x:v>
      </x:c>
      <x:c r="I56" s="8" t="n">
        <x:v>30000</x:v>
      </x:c>
      <x:c r="J56" s="4" t="n">
        <x:v>1</x:v>
      </x:c>
      <x:c r="K56" s="4" t="n">
        <x:v>0</x:v>
      </x:c>
      <x:c r="L56" s="4" t="n">
        <x:v>1</x:v>
      </x:c>
      <x:c r="M56" s="4"/>
      <x:c r="N56" s="4"/>
      <x:c r="O56" s="4" t="n">
        <x:v>0</x:v>
      </x:c>
      <x:c r="P56" s="4" t="str">
        <x:v>UTC 2026-10-11T17:12:19.618636620Z</x:v>
      </x:c>
      <x:c r="Q56" s="4" t="str">
        <x:v>UTC 2026-10-11T17:12:37.050127285Z</x:v>
      </x:c>
      <x:c r="R56" s="4" t="str">
        <x:v>7d6401751cc839036f4c945d03166f7082bb6a23</x:v>
      </x:c>
    </x:row>
    <x:row r="57" ht="25" customHeight="1">
      <x:c r="A57" s="4" t="str">
        <x:v>00fcd3c4-ce33-448b-a1c3-c5b8617139a3</x:v>
      </x:c>
      <x:c r="B57" s="4" t="str">
        <x:v>FOLLOWUP_130_HTTP</x:v>
      </x:c>
      <x:c r="C57" s="4" t="n">
        <x:v>1</x:v>
      </x:c>
      <x:c r="D57" s="4" t="str">
        <x:v>LIST</x:v>
      </x:c>
      <x:c r="E57" s="4" t="str">
        <x:v>HTTP_RESPONSE</x:v>
      </x:c>
      <x:c r="F57" s="4" t="n">
        <x:v>503</x:v>
      </x:c>
      <x:c r="G57" s="8" t="n">
        <x:v>576.204268</x:v>
      </x:c>
      <x:c r="H57" s="8" t="n">
        <x:v>0.1028</x:v>
      </x:c>
      <x:c r="I57" s="8" t="n">
        <x:v>30000</x:v>
      </x:c>
      <x:c r="J57" s="4" t="n">
        <x:v>1</x:v>
      </x:c>
      <x:c r="K57" s="4" t="n">
        <x:v>0</x:v>
      </x:c>
      <x:c r="L57" s="4" t="n">
        <x:v>1</x:v>
      </x:c>
      <x:c r="M57" s="4"/>
      <x:c r="N57" s="4" t="n">
        <x:v>30000</x:v>
      </x:c>
      <x:c r="O57" s="4" t="n">
        <x:v>0</x:v>
      </x:c>
      <x:c r="P57" s="4" t="str">
        <x:v>UTC 2026-10-11T17:12:59.074291842Z</x:v>
      </x:c>
      <x:c r="Q57" s="4" t="str">
        <x:v>UTC 2026-10-11T17:12:59.650498770Z</x:v>
      </x:c>
      <x:c r="R57" s="4" t="str">
        <x:v>7d6401751cc839036f4c945d03166f7082bb6a23</x:v>
      </x:c>
    </x:row>
    <x:row r="58" ht="25" customHeight="1">
      <x:c r="A58" s="4" t="str">
        <x:v>4ff4f593-c904-4916-a2da-937217b90c98</x:v>
      </x:c>
      <x:c r="B58" s="4" t="str">
        <x:v>FOLLOWUP_130_HTTP</x:v>
      </x:c>
      <x:c r="C58" s="4" t="n">
        <x:v>1</x:v>
      </x:c>
      <x:c r="D58" s="4" t="str">
        <x:v>CREATE</x:v>
      </x:c>
      <x:c r="E58" s="4" t="str">
        <x:v>HTTP_RESPONSE</x:v>
      </x:c>
      <x:c r="F58" s="4" t="n">
        <x:v>201</x:v>
      </x:c>
      <x:c r="G58" s="8" t="n">
        <x:v>803.611001</x:v>
      </x:c>
      <x:c r="H58" s="8" t="n">
        <x:v>0.787198</x:v>
      </x:c>
      <x:c r="I58" s="8" t="n">
        <x:v>30000</x:v>
      </x:c>
      <x:c r="J58" s="4" t="n">
        <x:v>1</x:v>
      </x:c>
      <x:c r="K58" s="4" t="n">
        <x:v>0</x:v>
      </x:c>
      <x:c r="L58" s="4" t="n">
        <x:v>1</x:v>
      </x:c>
      <x:c r="M58" s="4"/>
      <x:c r="N58" s="4"/>
      <x:c r="O58" s="4" t="n">
        <x:v>0</x:v>
      </x:c>
      <x:c r="P58" s="4" t="str">
        <x:v>UTC 2026-10-11T17:14:36.913606355Z</x:v>
      </x:c>
      <x:c r="Q58" s="4" t="str">
        <x:v>UTC 2026-10-11T17:14:37.717223036Z</x:v>
      </x:c>
      <x:c r="R58" s="4" t="str">
        <x:v>7d6401751cc839036f4c945d03166f7082bb6a23</x:v>
      </x:c>
    </x:row>
    <x:row r="59" ht="25" customHeight="1">
      <x:c r="A59" s="4" t="str">
        <x:v>4ff4f593-c904-4916-a2da-937217b90c98</x:v>
      </x:c>
      <x:c r="B59" s="4" t="str">
        <x:v>FOLLOWUP_130_HTTP</x:v>
      </x:c>
      <x:c r="C59" s="4" t="n">
        <x:v>2</x:v>
      </x:c>
      <x:c r="D59" s="4" t="str">
        <x:v>DETAIL</x:v>
      </x:c>
      <x:c r="E59" s="4" t="str">
        <x:v>REQUEST_TIMEOUT</x:v>
      </x:c>
      <x:c r="F59" s="4"/>
      <x:c r="G59" s="8" t="n">
        <x:v>30001.117693</x:v>
      </x:c>
      <x:c r="H59" s="8" t="n">
        <x:v>0.343259</x:v>
      </x:c>
      <x:c r="I59" s="8" t="n">
        <x:v>30000</x:v>
      </x:c>
      <x:c r="J59" s="4" t="n">
        <x:v>1</x:v>
      </x:c>
      <x:c r="K59" s="4" t="n">
        <x:v>0</x:v>
      </x:c>
      <x:c r="L59" s="4" t="n">
        <x:v>1</x:v>
      </x:c>
      <x:c r="M59" s="4"/>
      <x:c r="N59" s="4"/>
      <x:c r="O59" s="4" t="n">
        <x:v>0</x:v>
      </x:c>
      <x:c r="P59" s="4" t="str">
        <x:v>UTC 2026-10-11T17:14:42.725690116Z</x:v>
      </x:c>
      <x:c r="Q59" s="4" t="str">
        <x:v>UTC 2026-10-11T17:15:12.726809939Z</x:v>
      </x:c>
      <x:c r="R59" s="4" t="str">
        <x:v>7d6401751cc839036f4c945d03166f7082bb6a23</x:v>
      </x:c>
    </x:row>
    <x:row r="60" ht="25" customHeight="1">
      <x:c r="A60" s="4" t="str">
        <x:v>a42e5d55-0aa3-4a75-9f70-418a803de39d</x:v>
      </x:c>
      <x:c r="B60" s="4" t="str">
        <x:v>FOLLOWUP_130_HTTP</x:v>
      </x:c>
      <x:c r="C60" s="4" t="n">
        <x:v>1</x:v>
      </x:c>
      <x:c r="D60" s="4" t="str">
        <x:v>CREATE</x:v>
      </x:c>
      <x:c r="E60" s="4" t="str">
        <x:v>HTTP_RESPONSE</x:v>
      </x:c>
      <x:c r="F60" s="4" t="n">
        <x:v>201</x:v>
      </x:c>
      <x:c r="G60" s="8" t="n">
        <x:v>653.08271</x:v>
      </x:c>
      <x:c r="H60" s="8" t="n">
        <x:v>0.16722</x:v>
      </x:c>
      <x:c r="I60" s="8" t="n">
        <x:v>30000</x:v>
      </x:c>
      <x:c r="J60" s="4" t="n">
        <x:v>1</x:v>
      </x:c>
      <x:c r="K60" s="4" t="n">
        <x:v>0</x:v>
      </x:c>
      <x:c r="L60" s="4" t="n">
        <x:v>1</x:v>
      </x:c>
      <x:c r="M60" s="4"/>
      <x:c r="N60" s="4"/>
      <x:c r="O60" s="4" t="n">
        <x:v>0</x:v>
      </x:c>
      <x:c r="P60" s="4" t="str">
        <x:v>UTC 2026-10-11T17:16:09.042391354Z</x:v>
      </x:c>
      <x:c r="Q60" s="4" t="str">
        <x:v>UTC 2026-10-11T17:16:09.695476184Z</x:v>
      </x:c>
      <x:c r="R60" s="4" t="str">
        <x:v>7d6401751cc839036f4c945d03166f7082bb6a23</x:v>
      </x:c>
    </x:row>
    <x:row r="61" ht="25" customHeight="1">
      <x:c r="A61" s="4" t="str">
        <x:v>a42e5d55-0aa3-4a75-9f70-418a803de39d</x:v>
      </x:c>
      <x:c r="B61" s="4" t="str">
        <x:v>FOLLOWUP_130_HTTP</x:v>
      </x:c>
      <x:c r="C61" s="4" t="n">
        <x:v>2</x:v>
      </x:c>
      <x:c r="D61" s="4" t="str">
        <x:v>DETAIL</x:v>
      </x:c>
      <x:c r="E61" s="4" t="str">
        <x:v>HTTP_RESPONSE</x:v>
      </x:c>
      <x:c r="F61" s="4" t="n">
        <x:v>500</x:v>
      </x:c>
      <x:c r="G61" s="8" t="n">
        <x:v>229.141253</x:v>
      </x:c>
      <x:c r="H61" s="8" t="n">
        <x:v>0.181959</x:v>
      </x:c>
      <x:c r="I61" s="8" t="n">
        <x:v>30000</x:v>
      </x:c>
      <x:c r="J61" s="4" t="n">
        <x:v>1</x:v>
      </x:c>
      <x:c r="K61" s="4" t="n">
        <x:v>0</x:v>
      </x:c>
      <x:c r="L61" s="4" t="n">
        <x:v>1</x:v>
      </x:c>
      <x:c r="M61" s="4"/>
      <x:c r="N61" s="4"/>
      <x:c r="O61" s="4" t="n">
        <x:v>0</x:v>
      </x:c>
      <x:c r="P61" s="4" t="str">
        <x:v>UTC 2026-10-11T17:16:11.701873139Z</x:v>
      </x:c>
      <x:c r="Q61" s="4" t="str">
        <x:v>UTC 2026-10-11T17:16:11.931018392Z</x:v>
      </x:c>
      <x:c r="R61" s="4" t="str">
        <x:v>7d6401751cc839036f4c945d03166f7082bb6a23</x:v>
      </x:c>
    </x:row>
    <x:row r="62" ht="25" customHeight="1">
      <x:c r="A62" s="4" t="str">
        <x:v>e67172ec-09be-4ea8-8f90-6d410aebdce5</x:v>
      </x:c>
      <x:c r="B62" s="4" t="str">
        <x:v>FOLLOWUP_130_HTTP</x:v>
      </x:c>
      <x:c r="C62" s="4" t="n">
        <x:v>1</x:v>
      </x:c>
      <x:c r="D62" s="4" t="str">
        <x:v>LIST</x:v>
      </x:c>
      <x:c r="E62" s="4" t="str">
        <x:v>HTTP_RESPONSE</x:v>
      </x:c>
      <x:c r="F62" s="4" t="n">
        <x:v>500</x:v>
      </x:c>
      <x:c r="G62" s="8" t="n">
        <x:v>1176.785131</x:v>
      </x:c>
      <x:c r="H62" s="8" t="n">
        <x:v>0.161899</x:v>
      </x:c>
      <x:c r="I62" s="8" t="n">
        <x:v>30000</x:v>
      </x:c>
      <x:c r="J62" s="4" t="n">
        <x:v>1</x:v>
      </x:c>
      <x:c r="K62" s="4" t="n">
        <x:v>0</x:v>
      </x:c>
      <x:c r="L62" s="4" t="n">
        <x:v>1</x:v>
      </x:c>
      <x:c r="M62" s="4"/>
      <x:c r="N62" s="4"/>
      <x:c r="O62" s="4" t="n">
        <x:v>0</x:v>
      </x:c>
      <x:c r="P62" s="4" t="str">
        <x:v>UTC 2026-10-11T17:32:26.434384194Z</x:v>
      </x:c>
      <x:c r="Q62" s="4" t="str">
        <x:v>UTC 2026-10-11T17:32:27.611173235Z</x:v>
      </x:c>
      <x:c r="R62" s="4" t="str">
        <x:v>7d6401751cc839036f4c945d03166f7082bb6a23</x:v>
      </x:c>
    </x:row>
    <x:row r="63" ht="25" customHeight="1">
      <x:c r="A63" s="4" t="str">
        <x:v>8c014f8a-8e13-4d71-98d3-9ce96cbe978f</x:v>
      </x:c>
      <x:c r="B63" s="4" t="str">
        <x:v>FOLLOWUP_130_HTTP</x:v>
      </x:c>
      <x:c r="C63" s="4" t="n">
        <x:v>1</x:v>
      </x:c>
      <x:c r="D63" s="4" t="str">
        <x:v>LIST</x:v>
      </x:c>
      <x:c r="E63" s="4" t="str">
        <x:v>HTTP_RESPONSE</x:v>
      </x:c>
      <x:c r="F63" s="4" t="n">
        <x:v>503</x:v>
      </x:c>
      <x:c r="G63" s="8" t="n">
        <x:v>1385.699654</x:v>
      </x:c>
      <x:c r="H63" s="8" t="n">
        <x:v>1.042495</x:v>
      </x:c>
      <x:c r="I63" s="8" t="n">
        <x:v>30000</x:v>
      </x:c>
      <x:c r="J63" s="4" t="n">
        <x:v>1</x:v>
      </x:c>
      <x:c r="K63" s="4" t="n">
        <x:v>0</x:v>
      </x:c>
      <x:c r="L63" s="4" t="n">
        <x:v>1</x:v>
      </x:c>
      <x:c r="M63" s="4"/>
      <x:c r="N63" s="4" t="n">
        <x:v>30000</x:v>
      </x:c>
      <x:c r="O63" s="4" t="n">
        <x:v>0</x:v>
      </x:c>
      <x:c r="P63" s="4" t="str">
        <x:v>UTC 2026-10-11T17:45:33.516985236Z</x:v>
      </x:c>
      <x:c r="Q63" s="4" t="str">
        <x:v>UTC 2026-10-11T17:45:34.902683300Z</x:v>
      </x:c>
      <x:c r="R63" s="4" t="str">
        <x:v>52916545ea4c191d1b4dfb507f71a23099fae83c</x:v>
      </x:c>
    </x:row>
    <x:row r="64" ht="25" customHeight="1">
      <x:c r="A64" s="4" t="str">
        <x:v>c4e7adbc-a862-4e9a-911f-fd4821d87ec7</x:v>
      </x:c>
      <x:c r="B64" s="4" t="str">
        <x:v>FOLLOWUP_130_HTTP</x:v>
      </x:c>
      <x:c r="C64" s="4" t="n">
        <x:v>1</x:v>
      </x:c>
      <x:c r="D64" s="4" t="str">
        <x:v>LIST</x:v>
      </x:c>
      <x:c r="E64" s="4" t="str">
        <x:v>HTTP_RESPONSE</x:v>
      </x:c>
      <x:c r="F64" s="4" t="n">
        <x:v>503</x:v>
      </x:c>
      <x:c r="G64" s="8" t="n">
        <x:v>1481.397284</x:v>
      </x:c>
      <x:c r="H64" s="8" t="n">
        <x:v>1.280301</x:v>
      </x:c>
      <x:c r="I64" s="8" t="n">
        <x:v>30000</x:v>
      </x:c>
      <x:c r="J64" s="4" t="n">
        <x:v>1</x:v>
      </x:c>
      <x:c r="K64" s="4" t="n">
        <x:v>0</x:v>
      </x:c>
      <x:c r="L64" s="4" t="n">
        <x:v>1</x:v>
      </x:c>
      <x:c r="M64" s="4"/>
      <x:c r="N64" s="4" t="n">
        <x:v>30000</x:v>
      </x:c>
      <x:c r="O64" s="4" t="n">
        <x:v>0</x:v>
      </x:c>
      <x:c r="P64" s="4" t="str">
        <x:v>UTC 2026-10-11T18:03:20.334380736Z</x:v>
      </x:c>
      <x:c r="Q64" s="4" t="str">
        <x:v>UTC 2026-10-11T18:03:21.815776489Z</x:v>
      </x:c>
      <x:c r="R64" s="4" t="str">
        <x:v>2659aa776ed8a2750c3a1ca83abe6a1c003c8003</x:v>
      </x:c>
    </x:row>
    <x:row r="65" ht="25" customHeight="1">
      <x:c r="A65" s="4" t="str">
        <x:v>c4e7adbc-a862-4e9a-911f-fd4821d87ec7</x:v>
      </x:c>
      <x:c r="B65" s="4" t="str">
        <x:v>FOLLOWUP_130_HTTP</x:v>
      </x:c>
      <x:c r="C65" s="4" t="n">
        <x:v>2</x:v>
      </x:c>
      <x:c r="D65" s="4" t="str">
        <x:v>LIST</x:v>
      </x:c>
      <x:c r="E65" s="4" t="str">
        <x:v>HTTP_RESPONSE</x:v>
      </x:c>
      <x:c r="F65" s="4" t="n">
        <x:v>500</x:v>
      </x:c>
      <x:c r="G65" s="8" t="n">
        <x:v>652.601091</x:v>
      </x:c>
      <x:c r="H65" s="8" t="n">
        <x:v>0.27574</x:v>
      </x:c>
      <x:c r="I65" s="8" t="n">
        <x:v>30000</x:v>
      </x:c>
      <x:c r="J65" s="4" t="n">
        <x:v>1</x:v>
      </x:c>
      <x:c r="K65" s="4" t="n">
        <x:v>1</x:v>
      </x:c>
      <x:c r="L65" s="4" t="n">
        <x:v>1</x:v>
      </x:c>
      <x:c r="M65" s="4"/>
      <x:c r="N65" s="4"/>
      <x:c r="O65" s="4" t="n">
        <x:v>0</x:v>
      </x:c>
      <x:c r="P65" s="4" t="str">
        <x:v>UTC 2026-10-11T18:03:51.844514406Z</x:v>
      </x:c>
      <x:c r="Q65" s="4" t="str">
        <x:v>UTC 2026-10-11T18:03:52.497115741Z</x:v>
      </x:c>
      <x:c r="R65" s="4" t="str">
        <x:v>2659aa776ed8a2750c3a1ca83abe6a1c003c8003</x:v>
      </x:c>
    </x:row>
    <x:row r="66" ht="25" customHeight="1">
      <x:c r="A66" s="4" t="str">
        <x:v>0f2532a0-73c0-43ea-b9a1-d7a49afe4562</x:v>
      </x:c>
      <x:c r="B66" s="4" t="str">
        <x:v>FOLLOWUP_130_HTTP</x:v>
      </x:c>
      <x:c r="C66" s="4" t="n">
        <x:v>1</x:v>
      </x:c>
      <x:c r="D66" s="4" t="str">
        <x:v>LIST</x:v>
      </x:c>
      <x:c r="E66" s="4" t="str">
        <x:v>HTTP_RESPONSE</x:v>
      </x:c>
      <x:c r="F66" s="4" t="n">
        <x:v>200</x:v>
      </x:c>
      <x:c r="G66" s="8" t="n">
        <x:v>2481.560618</x:v>
      </x:c>
      <x:c r="H66" s="8" t="n">
        <x:v>0.847543</x:v>
      </x:c>
      <x:c r="I66" s="8" t="n">
        <x:v>30000</x:v>
      </x:c>
      <x:c r="J66" s="4" t="n">
        <x:v>1</x:v>
      </x:c>
      <x:c r="K66" s="4" t="n">
        <x:v>0</x:v>
      </x:c>
      <x:c r="L66" s="4" t="n">
        <x:v>1</x:v>
      </x:c>
      <x:c r="M66" s="4"/>
      <x:c r="N66" s="4"/>
      <x:c r="O66" s="4" t="n">
        <x:v>0</x:v>
      </x:c>
      <x:c r="P66" s="4" t="str">
        <x:v>UTC 2026-10-11T18:13:33.714367571Z</x:v>
      </x:c>
      <x:c r="Q66" s="4" t="str">
        <x:v>UTC 2026-10-11T18:13:36.195933359Z</x:v>
      </x:c>
      <x:c r="R66" s="4" t="str">
        <x:v>aa9d9d39a74ba1d94abaa26189909dded2b3f38a</x:v>
      </x:c>
    </x:row>
    <x:row r="67" ht="25" customHeight="1">
      <x:c r="A67" s="4" t="str">
        <x:v>d58d979a-5b67-4643-aad1-41f87602f647</x:v>
      </x:c>
      <x:c r="B67" s="4" t="str">
        <x:v>FOLLOWUP_130_HTTP</x:v>
      </x:c>
      <x:c r="C67" s="4" t="n">
        <x:v>1</x:v>
      </x:c>
      <x:c r="D67" s="4" t="str">
        <x:v>LIST</x:v>
      </x:c>
      <x:c r="E67" s="4" t="str">
        <x:v>HTTP_RESPONSE</x:v>
      </x:c>
      <x:c r="F67" s="4" t="n">
        <x:v>500</x:v>
      </x:c>
      <x:c r="G67" s="8" t="n">
        <x:v>623.103434</x:v>
      </x:c>
      <x:c r="H67" s="8" t="n">
        <x:v>0.141267</x:v>
      </x:c>
      <x:c r="I67" s="8" t="n">
        <x:v>30000</x:v>
      </x:c>
      <x:c r="J67" s="4" t="n">
        <x:v>1</x:v>
      </x:c>
      <x:c r="K67" s="4" t="n">
        <x:v>0</x:v>
      </x:c>
      <x:c r="L67" s="4" t="n">
        <x:v>1</x:v>
      </x:c>
      <x:c r="M67" s="4"/>
      <x:c r="N67" s="4"/>
      <x:c r="O67" s="4" t="n">
        <x:v>0</x:v>
      </x:c>
      <x:c r="P67" s="4" t="str">
        <x:v>UTC 2026-10-11T18:14:18.963186765Z</x:v>
      </x:c>
      <x:c r="Q67" s="4" t="str">
        <x:v>UTC 2026-10-11T18:14:19.586298949Z</x:v>
      </x:c>
      <x:c r="R67" s="4" t="str">
        <x:v>aa9d9d39a74ba1d94abaa26189909dded2b3f38a</x:v>
      </x:c>
    </x:row>
    <x:row r="68" ht="25" customHeight="1">
      <x:c r="A68" s="4" t="str">
        <x:v>ccc9290e-06c6-4f9c-9c76-e409eb068e4d</x:v>
      </x:c>
      <x:c r="B68" s="4" t="str">
        <x:v>FOLLOWUP_130_HTTP</x:v>
      </x:c>
      <x:c r="C68" s="4" t="n">
        <x:v>1</x:v>
      </x:c>
      <x:c r="D68" s="4" t="str">
        <x:v>LIST</x:v>
      </x:c>
      <x:c r="E68" s="4" t="str">
        <x:v>HTTP_RESPONSE</x:v>
      </x:c>
      <x:c r="F68" s="4" t="n">
        <x:v>200</x:v>
      </x:c>
      <x:c r="G68" s="8" t="n">
        <x:v>14970.565688</x:v>
      </x:c>
      <x:c r="H68" s="8" t="n">
        <x:v>0.223636</x:v>
      </x:c>
      <x:c r="I68" s="8" t="n">
        <x:v>30000</x:v>
      </x:c>
      <x:c r="J68" s="4" t="n">
        <x:v>1</x:v>
      </x:c>
      <x:c r="K68" s="4" t="n">
        <x:v>0</x:v>
      </x:c>
      <x:c r="L68" s="4" t="n">
        <x:v>1</x:v>
      </x:c>
      <x:c r="M68" s="4"/>
      <x:c r="N68" s="4"/>
      <x:c r="O68" s="4" t="n">
        <x:v>0</x:v>
      </x:c>
      <x:c r="P68" s="4" t="str">
        <x:v>UTC 2026-10-11T18:14:43.783468736Z</x:v>
      </x:c>
      <x:c r="Q68" s="4" t="str">
        <x:v>UTC 2026-10-11T18:14:58.754035054Z</x:v>
      </x:c>
      <x:c r="R68" s="4" t="str">
        <x:v>aa9d9d39a74ba1d94abaa26189909dded2b3f38a</x:v>
      </x:c>
    </x:row>
    <x:row r="69" ht="25" customHeight="1">
      <x:c r="A69" s="4" t="str">
        <x:v>ccc9290e-06c6-4f9c-9c76-e409eb068e4d</x:v>
      </x:c>
      <x:c r="B69" s="4" t="str">
        <x:v>FOLLOWUP_130_HTTP</x:v>
      </x:c>
      <x:c r="C69" s="4" t="n">
        <x:v>2</x:v>
      </x:c>
      <x:c r="D69" s="4" t="str">
        <x:v>LIST</x:v>
      </x:c>
      <x:c r="E69" s="4" t="str">
        <x:v>HTTP_RESPONSE</x:v>
      </x:c>
      <x:c r="F69" s="4" t="n">
        <x:v>200</x:v>
      </x:c>
      <x:c r="G69" s="8" t="n">
        <x:v>15390.091008</x:v>
      </x:c>
      <x:c r="H69" s="8" t="n">
        <x:v>0.177356</x:v>
      </x:c>
      <x:c r="I69" s="8" t="n">
        <x:v>30000</x:v>
      </x:c>
      <x:c r="J69" s="4" t="n">
        <x:v>1</x:v>
      </x:c>
      <x:c r="K69" s="4" t="n">
        <x:v>0</x:v>
      </x:c>
      <x:c r="L69" s="4" t="n">
        <x:v>1</x:v>
      </x:c>
      <x:c r="M69" s="4"/>
      <x:c r="N69" s="4"/>
      <x:c r="O69" s="4" t="n">
        <x:v>0</x:v>
      </x:c>
      <x:c r="P69" s="4" t="str">
        <x:v>UTC 2026-10-11T18:15:00.763284418Z</x:v>
      </x:c>
      <x:c r="Q69" s="4" t="str">
        <x:v>UTC 2026-10-11T18:15:16.153377936Z</x:v>
      </x:c>
      <x:c r="R69" s="4" t="str">
        <x:v>aa9d9d39a74ba1d94abaa26189909dded2b3f38a</x:v>
      </x:c>
    </x:row>
    <x:row r="70" ht="25" customHeight="1">
      <x:c r="A70" s="4" t="str">
        <x:v>ccc9290e-06c6-4f9c-9c76-e409eb068e4d</x:v>
      </x:c>
      <x:c r="B70" s="4" t="str">
        <x:v>FOLLOWUP_130_HTTP</x:v>
      </x:c>
      <x:c r="C70" s="4" t="n">
        <x:v>3</x:v>
      </x:c>
      <x:c r="D70" s="4" t="str">
        <x:v>LIST</x:v>
      </x:c>
      <x:c r="E70" s="4" t="str">
        <x:v>HTTP_RESPONSE</x:v>
      </x:c>
      <x:c r="F70" s="4" t="n">
        <x:v>503</x:v>
      </x:c>
      <x:c r="G70" s="8" t="n">
        <x:v>218.234213</x:v>
      </x:c>
      <x:c r="H70" s="8" t="n">
        <x:v>0.178517</x:v>
      </x:c>
      <x:c r="I70" s="8" t="n">
        <x:v>30000</x:v>
      </x:c>
      <x:c r="J70" s="4" t="n">
        <x:v>1</x:v>
      </x:c>
      <x:c r="K70" s="4" t="n">
        <x:v>0</x:v>
      </x:c>
      <x:c r="L70" s="4" t="n">
        <x:v>1</x:v>
      </x:c>
      <x:c r="M70" s="4"/>
      <x:c r="N70" s="4" t="n">
        <x:v>30000</x:v>
      </x:c>
      <x:c r="O70" s="4" t="n">
        <x:v>0</x:v>
      </x:c>
      <x:c r="P70" s="4" t="str">
        <x:v>UTC 2026-10-11T18:15:18.160475133Z</x:v>
      </x:c>
      <x:c r="Q70" s="4" t="str">
        <x:v>UTC 2026-10-11T18:15:18.378713146Z</x:v>
      </x:c>
      <x:c r="R70" s="4" t="str">
        <x:v>aa9d9d39a74ba1d94abaa26189909dded2b3f38a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27" hidden="0" customWidth="1"/>
    <x:col min="3" max="3" width="13" hidden="0" customWidth="1"/>
    <x:col min="4" max="4" width="22" hidden="0" customWidth="1"/>
    <x:col min="5" max="5" width="16" hidden="0" customWidth="1"/>
    <x:col min="6" max="6" width="16" hidden="0" customWidth="1"/>
    <x:col min="7" max="7" width="30" hidden="0" customWidth="1"/>
    <x:col min="8" max="8" width="21" hidden="0" customWidth="1"/>
    <x:col min="9" max="9" width="14" hidden="0" customWidth="1"/>
    <x:col min="10" max="10" width="45" hidden="0" customWidth="1"/>
    <x:col min="11" max="11" width="55" hidden="0" customWidth="1"/>
    <x:col min="12" max="12" width="72" hidden="0" customWidth="1"/>
  </x:cols>
  <x:sheetData>
    <x:row r="2" ht="25" customHeight="1">
      <x:c r="A2" s="2" t="str">
        <x:v>Runs</x:v>
      </x:c>
    </x:row>
    <x:row r="4" ht="25" customHeight="1">
      <x:c r="A4" s="1" t="str">
        <x:v>원본 출처와 SHA256은 이 시트에만 기록. 대상 별칭은 실행 범위에서만 의미가 있음.</x:v>
      </x:c>
    </x:row>
    <x:row r="6" ht="32" customHeight="1">
      <x:c r="A6" s="7" t="str">
        <x:v>run ID</x:v>
      </x:c>
      <x:c r="B6" s="7" t="str">
        <x:v>집단</x:v>
      </x:c>
      <x:c r="C6" s="7" t="str">
        <x:v>실제 n</x:v>
      </x:c>
      <x:c r="D6" s="7" t="str">
        <x:v>유형</x:v>
      </x:c>
      <x:c r="E6" s="7" t="str">
        <x:v>프로토콜</x:v>
      </x:c>
      <x:c r="F6" s="7" t="str">
        <x:v>상태</x:v>
      </x:c>
      <x:c r="G6" s="7" t="str">
        <x:v>중단 이유</x:v>
      </x:c>
      <x:c r="H6" s="7" t="str">
        <x:v>요청 제한 ms</x:v>
      </x:c>
      <x:c r="I6" s="7" t="str">
        <x:v>동시성</x:v>
      </x:c>
      <x:c r="J6" s="7" t="str">
        <x:v>시작 UTC</x:v>
      </x:c>
      <x:c r="K6" s="7" t="str">
        <x:v>원본 파일</x:v>
      </x:c>
      <x:c r="L6" s="7" t="str">
        <x:v>SHA256</x:v>
      </x:c>
    </x:row>
    <x:row r="7" ht="25" customHeight="1">
      <x:c r="A7" s="4" t="str">
        <x:v>e83392ee-b8f9-4f29-bf31-4e4032154ff1</x:v>
      </x:c>
      <x:c r="B7" s="4" t="str">
        <x:v>OTHER_EXPLORATORY</x:v>
      </x:c>
      <x:c r="C7" s="4" t="n">
        <x:v>1</x:v>
      </x:c>
      <x:c r="D7" s="4" t="str">
        <x:v>GET_BASELINE</x:v>
      </x:c>
      <x:c r="E7" s="4" t="str">
        <x:v>없음</x:v>
      </x:c>
      <x:c r="F7" s="4" t="str">
        <x:v>COMPLETED</x:v>
      </x:c>
      <x:c r="G7" s="4" t="str"/>
      <x:c r="H7" s="4" t="n">
        <x:v>10000</x:v>
      </x:c>
      <x:c r="I7" s="4" t="n">
        <x:v>1</x:v>
      </x:c>
      <x:c r="J7" s="4" t="str">
        <x:v>UTC 2026-10-11T06:33:53.688504099Z</x:v>
      </x:c>
      <x:c r="K7" s="4" t="str">
        <x:v>lab-e83392ee-b8f9-4f29-bf31-4e4032154ff1.json</x:v>
      </x:c>
      <x:c r="L7" s="4" t="str">
        <x:v>6148a8d7f43129944a49d47cd010bf6c620f2a63e56f0313e68dde7bdf4e2790</x:v>
      </x:c>
    </x:row>
    <x:row r="8" ht="25" customHeight="1">
      <x:c r="A8" s="4" t="str">
        <x:v>f70323f3-2b6b-4d72-9f7a-a9bf31d23557</x:v>
      </x:c>
      <x:c r="B8" s="4" t="str">
        <x:v>OTHER_EXPLORATORY</x:v>
      </x:c>
      <x:c r="C8" s="4" t="n">
        <x:v>1</x:v>
      </x:c>
      <x:c r="D8" s="4" t="str">
        <x:v>GET_BASELINE</x:v>
      </x:c>
      <x:c r="E8" s="4" t="str">
        <x:v>없음</x:v>
      </x:c>
      <x:c r="F8" s="4" t="str">
        <x:v>STOPPED</x:v>
      </x:c>
      <x:c r="G8" s="4" t="str">
        <x:v>CANCELLED</x:v>
      </x:c>
      <x:c r="H8" s="4" t="n">
        <x:v>30000</x:v>
      </x:c>
      <x:c r="I8" s="4" t="n">
        <x:v>1</x:v>
      </x:c>
      <x:c r="J8" s="4" t="str">
        <x:v>UTC 2026-10-11T07:07:30.830011833Z</x:v>
      </x:c>
      <x:c r="K8" s="4" t="str">
        <x:v>lab-f70323f3-2b6b-4d72-9f7a-a9bf31d23557.json</x:v>
      </x:c>
      <x:c r="L8" s="4" t="str">
        <x:v>bacde76330aab7c0f51b09a957b8998dd71eb8fea4f2643eea40ddd71c09d98e</x:v>
      </x:c>
    </x:row>
    <x:row r="9" ht="25" customHeight="1">
      <x:c r="A9" s="4" t="str">
        <x:v>2bc4b99c-502d-4f1b-9fbb-9a767c193833</x:v>
      </x:c>
      <x:c r="B9" s="4" t="str">
        <x:v>OTHER_EXPLORATORY</x:v>
      </x:c>
      <x:c r="C9" s="4" t="n">
        <x:v>1</x:v>
      </x:c>
      <x:c r="D9" s="4" t="str">
        <x:v>GET_BASELINE</x:v>
      </x:c>
      <x:c r="E9" s="4" t="str">
        <x:v>없음</x:v>
      </x:c>
      <x:c r="F9" s="4" t="str">
        <x:v>COMPLETED</x:v>
      </x:c>
      <x:c r="G9" s="4" t="str"/>
      <x:c r="H9" s="4" t="n">
        <x:v>30000</x:v>
      </x:c>
      <x:c r="I9" s="4" t="n">
        <x:v>1</x:v>
      </x:c>
      <x:c r="J9" s="4" t="str">
        <x:v>UTC 2026-10-11T07:29:35.748423201Z</x:v>
      </x:c>
      <x:c r="K9" s="4" t="str">
        <x:v>lab-2bc4b99c-502d-4f1b-9fbb-9a767c193833.json</x:v>
      </x:c>
      <x:c r="L9" s="4" t="str">
        <x:v>1f1af4ac01545ecc468523bc1e9e2afa257067d84e54e97bc574475afc4d3e69</x:v>
      </x:c>
    </x:row>
    <x:row r="10" ht="25" customHeight="1">
      <x:c r="A10" s="4" t="str">
        <x:v>7766daec-5f98-450b-89b8-7cd18f4683d2</x:v>
      </x:c>
      <x:c r="B10" s="4" t="str">
        <x:v>OTHER_EXPLORATORY</x:v>
      </x:c>
      <x:c r="C10" s="4" t="n">
        <x:v>1</x:v>
      </x:c>
      <x:c r="D10" s="4" t="str">
        <x:v>GET_BASELINE</x:v>
      </x:c>
      <x:c r="E10" s="4" t="str">
        <x:v>없음</x:v>
      </x:c>
      <x:c r="F10" s="4" t="str">
        <x:v>COMPLETED</x:v>
      </x:c>
      <x:c r="G10" s="4" t="str"/>
      <x:c r="H10" s="4" t="n">
        <x:v>30000</x:v>
      </x:c>
      <x:c r="I10" s="4" t="n">
        <x:v>1</x:v>
      </x:c>
      <x:c r="J10" s="4" t="str">
        <x:v>UTC 2026-10-11T07:33:40.090202942Z</x:v>
      </x:c>
      <x:c r="K10" s="4" t="str">
        <x:v>lab-7766daec-5f98-450b-89b8-7cd18f4683d2.json</x:v>
      </x:c>
      <x:c r="L10" s="4" t="str">
        <x:v>33e295cd911c9d7c0b287c5d9f202c611d1e8a44439eb2bae83acbe561492c2d</x:v>
      </x:c>
    </x:row>
    <x:row r="11" ht="25" customHeight="1">
      <x:c r="A11" s="4" t="str">
        <x:v>50c4afc0-a755-49f6-8ea1-1c6821f54ce9</x:v>
      </x:c>
      <x:c r="B11" s="4" t="str">
        <x:v>OTHER_EXPLORATORY</x:v>
      </x:c>
      <x:c r="C11" s="4" t="n">
        <x:v>2</x:v>
      </x:c>
      <x:c r="D11" s="4" t="str">
        <x:v>GET_BASELINE</x:v>
      </x:c>
      <x:c r="E11" s="4" t="str">
        <x:v>없음</x:v>
      </x:c>
      <x:c r="F11" s="4" t="str">
        <x:v>STOPPED</x:v>
      </x:c>
      <x:c r="G11" s="4" t="str">
        <x:v>RETRY_AFTER_OR_OVERLOAD</x:v>
      </x:c>
      <x:c r="H11" s="4" t="n">
        <x:v>30000</x:v>
      </x:c>
      <x:c r="I11" s="4" t="n">
        <x:v>1</x:v>
      </x:c>
      <x:c r="J11" s="4" t="str">
        <x:v>UTC 2026-10-11T07:49:15.421272044Z</x:v>
      </x:c>
      <x:c r="K11" s="4" t="str">
        <x:v>lab-50c4afc0-a755-49f6-8ea1-1c6821f54ce9.json</x:v>
      </x:c>
      <x:c r="L11" s="4" t="str">
        <x:v>239c433ebc107a8c13095b8f4a21f7845d997013b6f1ce372e1a043d4f1306d0</x:v>
      </x:c>
    </x:row>
    <x:row r="12" ht="25" customHeight="1">
      <x:c r="A12" s="4" t="str">
        <x:v>0664760e-a7c2-49f4-8110-b49a75175cac</x:v>
      </x:c>
      <x:c r="B12" s="4" t="str">
        <x:v>OTHER_EXPLORATORY</x:v>
      </x:c>
      <x:c r="C12" s="4" t="n">
        <x:v>1</x:v>
      </x:c>
      <x:c r="D12" s="4" t="str">
        <x:v>GET_BASELINE</x:v>
      </x:c>
      <x:c r="E12" s="4" t="str">
        <x:v>없음</x:v>
      </x:c>
      <x:c r="F12" s="4" t="str">
        <x:v>COMPLETED</x:v>
      </x:c>
      <x:c r="G12" s="4" t="str"/>
      <x:c r="H12" s="4" t="n">
        <x:v>30000</x:v>
      </x:c>
      <x:c r="I12" s="4" t="n">
        <x:v>1</x:v>
      </x:c>
      <x:c r="J12" s="4" t="str">
        <x:v>UTC 2026-10-11T07:51:31.925246449Z</x:v>
      </x:c>
      <x:c r="K12" s="4" t="str">
        <x:v>lab-0664760e-a7c2-49f4-8110-b49a75175cac.json</x:v>
      </x:c>
      <x:c r="L12" s="4" t="str">
        <x:v>61c096d1c2914adac6b461dcdc75596c9f0a11044d9f1a9c7e5f3147494afc54</x:v>
      </x:c>
    </x:row>
    <x:row r="13" ht="25" customHeight="1">
      <x:c r="A13" s="4" t="str">
        <x:v>9dd4a2d6-e702-4ef1-83aa-88bbb5eda46d</x:v>
      </x:c>
      <x:c r="B13" s="4" t="str">
        <x:v>INITIAL_11_CASES</x:v>
      </x:c>
      <x:c r="C13" s="4" t="n">
        <x:v>1</x:v>
      </x:c>
      <x:c r="D13" s="4" t="str">
        <x:v>GET_FIXED</x:v>
      </x:c>
      <x:c r="E13" s="4" t="str">
        <x:v>없음</x:v>
      </x:c>
      <x:c r="F13" s="4" t="str">
        <x:v>STOPPED</x:v>
      </x:c>
      <x:c r="G13" s="4" t="str">
        <x:v>RETRY_AFTER_OR_OVERLOAD</x:v>
      </x:c>
      <x:c r="H13" s="4" t="n">
        <x:v>30000</x:v>
      </x:c>
      <x:c r="I13" s="4" t="n">
        <x:v>1</x:v>
      </x:c>
      <x:c r="J13" s="4" t="str">
        <x:v>UTC 2026-10-11T14:35:16.008691632Z</x:v>
      </x:c>
      <x:c r="K13" s="4" t="str">
        <x:v>lab-9dd4a2d6-e702-4ef1-83aa-88bbb5eda46d.json</x:v>
      </x:c>
      <x:c r="L13" s="4" t="str">
        <x:v>c6d481d4061a49cfb26a34ac44f485ee15aae5361991261e10cf4e4ba0c18903</x:v>
      </x:c>
    </x:row>
    <x:row r="14" ht="25" customHeight="1">
      <x:c r="A14" s="4" t="str">
        <x:v>0f599928-512a-4b08-a113-8f3913ada02f</x:v>
      </x:c>
      <x:c r="B14" s="4" t="str">
        <x:v>INITIAL_11_CASES</x:v>
      </x:c>
      <x:c r="C14" s="4" t="n">
        <x:v>2</x:v>
      </x:c>
      <x:c r="D14" s="4" t="str">
        <x:v>GET_FIXED</x:v>
      </x:c>
      <x:c r="E14" s="4" t="str">
        <x:v>없음</x:v>
      </x:c>
      <x:c r="F14" s="4" t="str">
        <x:v>STOPPED</x:v>
      </x:c>
      <x:c r="G14" s="4" t="str">
        <x:v>OBSERVED_ERROR</x:v>
      </x:c>
      <x:c r="H14" s="4" t="n">
        <x:v>30000</x:v>
      </x:c>
      <x:c r="I14" s="4" t="n">
        <x:v>2</x:v>
      </x:c>
      <x:c r="J14" s="4" t="str">
        <x:v>UTC 2026-10-11T14:41:08.439329083Z</x:v>
      </x:c>
      <x:c r="K14" s="4" t="str">
        <x:v>lab-0f599928-512a-4b08-a113-8f3913ada02f.json</x:v>
      </x:c>
      <x:c r="L14" s="4" t="str">
        <x:v>57aebd989e4d2c344c92f0579a13d19050c17540b549b2daec38ecef028acb2c</x:v>
      </x:c>
    </x:row>
    <x:row r="15" ht="25" customHeight="1">
      <x:c r="A15" s="4" t="str">
        <x:v>bceb8eb7-7715-4efe-9c5d-00fd68d2e35a</x:v>
      </x:c>
      <x:c r="B15" s="4" t="str">
        <x:v>INITIAL_11_CASES</x:v>
      </x:c>
      <x:c r="C15" s="4" t="n">
        <x:v>3</x:v>
      </x:c>
      <x:c r="D15" s="4" t="str">
        <x:v>GET_FIXED</x:v>
      </x:c>
      <x:c r="E15" s="4" t="str">
        <x:v>없음</x:v>
      </x:c>
      <x:c r="F15" s="4" t="str">
        <x:v>STOPPED</x:v>
      </x:c>
      <x:c r="G15" s="4" t="str">
        <x:v>RETRY_AFTER_OR_OVERLOAD</x:v>
      </x:c>
      <x:c r="H15" s="4" t="n">
        <x:v>30000</x:v>
      </x:c>
      <x:c r="I15" s="4" t="n">
        <x:v>3</x:v>
      </x:c>
      <x:c r="J15" s="4" t="str">
        <x:v>UTC 2026-10-11T14:44:25.209221170Z</x:v>
      </x:c>
      <x:c r="K15" s="4" t="str">
        <x:v>lab-bceb8eb7-7715-4efe-9c5d-00fd68d2e35a.json</x:v>
      </x:c>
      <x:c r="L15" s="4" t="str">
        <x:v>4837ee35e47a664d70d3e17af3296e88289a613e738aeabc39c26db1bd8392c4</x:v>
      </x:c>
    </x:row>
    <x:row r="16" ht="25" customHeight="1">
      <x:c r="A16" s="4" t="str">
        <x:v>15b904a5-002f-4348-89d1-44f18868da03</x:v>
      </x:c>
      <x:c r="B16" s="4" t="str">
        <x:v>INITIAL_11_CASES</x:v>
      </x:c>
      <x:c r="C16" s="4" t="n">
        <x:v>1</x:v>
      </x:c>
      <x:c r="D16" s="4" t="str">
        <x:v>GET_FIXED</x:v>
      </x:c>
      <x:c r="E16" s="4" t="str">
        <x:v>없음</x:v>
      </x:c>
      <x:c r="F16" s="4" t="str">
        <x:v>COMPLETED</x:v>
      </x:c>
      <x:c r="G16" s="4" t="str"/>
      <x:c r="H16" s="4" t="n">
        <x:v>60000</x:v>
      </x:c>
      <x:c r="I16" s="4" t="n">
        <x:v>1</x:v>
      </x:c>
      <x:c r="J16" s="4" t="str">
        <x:v>UTC 2026-10-11T14:46:58.687913435Z</x:v>
      </x:c>
      <x:c r="K16" s="4" t="str">
        <x:v>lab-15b904a5-002f-4348-89d1-44f18868da03.json</x:v>
      </x:c>
      <x:c r="L16" s="4" t="str">
        <x:v>a33ce06a269c1f3c2b42a2cb1e433d028bb51f903791c7ab43bf69ec0598740b</x:v>
      </x:c>
    </x:row>
    <x:row r="17" ht="25" customHeight="1">
      <x:c r="A17" s="4" t="str">
        <x:v>2e79bff2-80e2-4e82-8e04-31e96f8d9ffb</x:v>
      </x:c>
      <x:c r="B17" s="4" t="str">
        <x:v>INITIAL_11_CASES</x:v>
      </x:c>
      <x:c r="C17" s="4" t="n">
        <x:v>1</x:v>
      </x:c>
      <x:c r="D17" s="4" t="str">
        <x:v>GET_FIXED</x:v>
      </x:c>
      <x:c r="E17" s="4" t="str">
        <x:v>없음</x:v>
      </x:c>
      <x:c r="F17" s="4" t="str">
        <x:v>STOPPED</x:v>
      </x:c>
      <x:c r="G17" s="4" t="str">
        <x:v>RETRY_AFTER_OR_OVERLOAD</x:v>
      </x:c>
      <x:c r="H17" s="4" t="n">
        <x:v>60000</x:v>
      </x:c>
      <x:c r="I17" s="4" t="n">
        <x:v>1</x:v>
      </x:c>
      <x:c r="J17" s="4" t="str">
        <x:v>UTC 2026-10-11T14:47:03.030696802Z</x:v>
      </x:c>
      <x:c r="K17" s="4" t="str">
        <x:v>lab-2e79bff2-80e2-4e82-8e04-31e96f8d9ffb.json</x:v>
      </x:c>
      <x:c r="L17" s="4" t="str">
        <x:v>a4ce63f85c61c85e40d5583748ce72b7f0cbae9cabf192808711662cfe236a24</x:v>
      </x:c>
    </x:row>
    <x:row r="18" ht="25" customHeight="1">
      <x:c r="A18" s="4" t="str">
        <x:v>2a883cd0-c44a-4288-b496-8d4e71cf680f</x:v>
      </x:c>
      <x:c r="B18" s="4" t="str">
        <x:v>INITIAL_11_CASES</x:v>
      </x:c>
      <x:c r="C18" s="4" t="n">
        <x:v>2</x:v>
      </x:c>
      <x:c r="D18" s="4" t="str">
        <x:v>GET_FIXED</x:v>
      </x:c>
      <x:c r="E18" s="4" t="str">
        <x:v>없음</x:v>
      </x:c>
      <x:c r="F18" s="4" t="str">
        <x:v>COMPLETED</x:v>
      </x:c>
      <x:c r="G18" s="4" t="str"/>
      <x:c r="H18" s="4" t="n">
        <x:v>60000</x:v>
      </x:c>
      <x:c r="I18" s="4" t="n">
        <x:v>2</x:v>
      </x:c>
      <x:c r="J18" s="4" t="str">
        <x:v>UTC 2026-10-11T14:49:59.871693742Z</x:v>
      </x:c>
      <x:c r="K18" s="4" t="str">
        <x:v>lab-2a883cd0-c44a-4288-b496-8d4e71cf680f.json</x:v>
      </x:c>
      <x:c r="L18" s="4" t="str">
        <x:v>5c21a86e3e6bfb7874200a860e77441c507ac26ecb74c18424679d42a51be95f</x:v>
      </x:c>
    </x:row>
    <x:row r="19" ht="25" customHeight="1">
      <x:c r="A19" s="4" t="str">
        <x:v>7c70ac5f-cabb-4ef7-93c0-0e06417208be</x:v>
      </x:c>
      <x:c r="B19" s="4" t="str">
        <x:v>INITIAL_11_CASES</x:v>
      </x:c>
      <x:c r="C19" s="4" t="n">
        <x:v>2</x:v>
      </x:c>
      <x:c r="D19" s="4" t="str">
        <x:v>GET_FIXED</x:v>
      </x:c>
      <x:c r="E19" s="4" t="str">
        <x:v>없음</x:v>
      </x:c>
      <x:c r="F19" s="4" t="str">
        <x:v>STOPPED</x:v>
      </x:c>
      <x:c r="G19" s="4" t="str">
        <x:v>OBSERVED_ERROR</x:v>
      </x:c>
      <x:c r="H19" s="4" t="n">
        <x:v>60000</x:v>
      </x:c>
      <x:c r="I19" s="4" t="n">
        <x:v>2</x:v>
      </x:c>
      <x:c r="J19" s="4" t="str">
        <x:v>UTC 2026-10-11T14:50:04.364394052Z</x:v>
      </x:c>
      <x:c r="K19" s="4" t="str">
        <x:v>lab-7c70ac5f-cabb-4ef7-93c0-0e06417208be.json</x:v>
      </x:c>
      <x:c r="L19" s="4" t="str">
        <x:v>66e6f0cf8405260f03dcb64e118b1c62d7b183ae361c65a531c5cdfac33cf6f3</x:v>
      </x:c>
    </x:row>
    <x:row r="20" ht="25" customHeight="1">
      <x:c r="A20" s="4" t="str">
        <x:v>2e8b541c-3b23-4a80-865a-206dfcc601a9</x:v>
      </x:c>
      <x:c r="B20" s="4" t="str">
        <x:v>INITIAL_11_CASES</x:v>
      </x:c>
      <x:c r="C20" s="4" t="n">
        <x:v>3</x:v>
      </x:c>
      <x:c r="D20" s="4" t="str">
        <x:v>GET_FIXED</x:v>
      </x:c>
      <x:c r="E20" s="4" t="str">
        <x:v>없음</x:v>
      </x:c>
      <x:c r="F20" s="4" t="str">
        <x:v>STOPPED</x:v>
      </x:c>
      <x:c r="G20" s="4" t="str">
        <x:v>RETRY_AFTER_OR_OVERLOAD</x:v>
      </x:c>
      <x:c r="H20" s="4" t="n">
        <x:v>60000</x:v>
      </x:c>
      <x:c r="I20" s="4" t="n">
        <x:v>3</x:v>
      </x:c>
      <x:c r="J20" s="4" t="str">
        <x:v>UTC 2026-10-11T14:52:16.264917568Z</x:v>
      </x:c>
      <x:c r="K20" s="4" t="str">
        <x:v>lab-2e8b541c-3b23-4a80-865a-206dfcc601a9.json</x:v>
      </x:c>
      <x:c r="L20" s="4" t="str">
        <x:v>b57ee46a1840c4889101a71e6a4eca11823a161b4b165596d88018cda7cd00eb</x:v>
      </x:c>
    </x:row>
    <x:row r="21" ht="25" customHeight="1">
      <x:c r="A21" s="4" t="str">
        <x:v>73897f1f-b17d-429b-8baa-cc679b273fe2</x:v>
      </x:c>
      <x:c r="B21" s="4" t="str">
        <x:v>INITIAL_11_CASES</x:v>
      </x:c>
      <x:c r="C21" s="4" t="n">
        <x:v>1</x:v>
      </x:c>
      <x:c r="D21" s="4" t="str">
        <x:v>CREATE_POLL</x:v>
      </x:c>
      <x:c r="E21" s="4" t="str">
        <x:v>없음</x:v>
      </x:c>
      <x:c r="F21" s="4" t="str">
        <x:v>COMPLETED</x:v>
      </x:c>
      <x:c r="G21" s="4" t="str"/>
      <x:c r="H21" s="4" t="n">
        <x:v>30000</x:v>
      </x:c>
      <x:c r="I21" s="4" t="n">
        <x:v>1</x:v>
      </x:c>
      <x:c r="J21" s="4" t="str">
        <x:v>UTC 2026-10-11T15:02:03.885942440Z</x:v>
      </x:c>
      <x:c r="K21" s="4" t="str">
        <x:v>lab-73897f1f-b17d-429b-8baa-cc679b273fe2.json</x:v>
      </x:c>
      <x:c r="L21" s="4" t="str">
        <x:v>306a4b372c067bbbb6a8b2fb533a17780ce6e0f20b9219589a32a7bf5a61d7f1</x:v>
      </x:c>
    </x:row>
    <x:row r="22" ht="25" customHeight="1">
      <x:c r="A22" s="4" t="str">
        <x:v>fa48a462-cfff-4b10-9259-5b1eb2d89365</x:v>
      </x:c>
      <x:c r="B22" s="4" t="str">
        <x:v>INITIAL_11_CASES</x:v>
      </x:c>
      <x:c r="C22" s="4" t="n">
        <x:v>4</x:v>
      </x:c>
      <x:c r="D22" s="4" t="str">
        <x:v>CREATE_POLL</x:v>
      </x:c>
      <x:c r="E22" s="4" t="str">
        <x:v>없음</x:v>
      </x:c>
      <x:c r="F22" s="4" t="str">
        <x:v>STOPPED</x:v>
      </x:c>
      <x:c r="G22" s="4" t="str">
        <x:v>OBSERVED_ERROR</x:v>
      </x:c>
      <x:c r="H22" s="4" t="n">
        <x:v>30000</x:v>
      </x:c>
      <x:c r="I22" s="4" t="n">
        <x:v>1</x:v>
      </x:c>
      <x:c r="J22" s="4" t="str">
        <x:v>UTC 2026-10-11T15:02:08.051782609Z</x:v>
      </x:c>
      <x:c r="K22" s="4" t="str">
        <x:v>lab-fa48a462-cfff-4b10-9259-5b1eb2d89365.json</x:v>
      </x:c>
      <x:c r="L22" s="4" t="str">
        <x:v>ba16aa4a93d72c9a2a8013eab68769740b4ddcaad7e12fac7f61ef1ab7210857</x:v>
      </x:c>
    </x:row>
    <x:row r="23" ht="25" customHeight="1">
      <x:c r="A23" s="4" t="str">
        <x:v>6389a638-6cb5-42c5-9cd0-4170c34ed323</x:v>
      </x:c>
      <x:c r="B23" s="4" t="str">
        <x:v>INITIAL_11_CASES</x:v>
      </x:c>
      <x:c r="C23" s="4" t="n">
        <x:v>4</x:v>
      </x:c>
      <x:c r="D23" s="4" t="str">
        <x:v>REPEAT_POST</x:v>
      </x:c>
      <x:c r="E23" s="4" t="str">
        <x:v>없음</x:v>
      </x:c>
      <x:c r="F23" s="4" t="str">
        <x:v>COMPLETED</x:v>
      </x:c>
      <x:c r="G23" s="4" t="str"/>
      <x:c r="H23" s="4" t="n">
        <x:v>30000</x:v>
      </x:c>
      <x:c r="I23" s="4" t="n">
        <x:v>1</x:v>
      </x:c>
      <x:c r="J23" s="4" t="str">
        <x:v>UTC 2026-10-11T15:09:42.125317523Z</x:v>
      </x:c>
      <x:c r="K23" s="4" t="str">
        <x:v>lab-6389a638-6cb5-42c5-9cd0-4170c34ed323.json</x:v>
      </x:c>
      <x:c r="L23" s="4" t="str">
        <x:v>60194ddfdb8f10e1b0abb240acb423a22118cba0c4e39acd590659e49bd03282</x:v>
      </x:c>
    </x:row>
    <x:row r="24" ht="25" customHeight="1">
      <x:c r="A24" s="4" t="str">
        <x:v>da9e2620-c41a-4997-a4eb-9403b35dd6df</x:v>
      </x:c>
      <x:c r="B24" s="4" t="str">
        <x:v>INITIAL_11_CASES</x:v>
      </x:c>
      <x:c r="C24" s="4" t="n">
        <x:v>4</x:v>
      </x:c>
      <x:c r="D24" s="4" t="str">
        <x:v>REPEAT_POST</x:v>
      </x:c>
      <x:c r="E24" s="4" t="str">
        <x:v>없음</x:v>
      </x:c>
      <x:c r="F24" s="4" t="str">
        <x:v>STOPPED</x:v>
      </x:c>
      <x:c r="G24" s="4" t="str">
        <x:v>OBSERVED_ERROR</x:v>
      </x:c>
      <x:c r="H24" s="4" t="n">
        <x:v>30000</x:v>
      </x:c>
      <x:c r="I24" s="4" t="n">
        <x:v>1</x:v>
      </x:c>
      <x:c r="J24" s="4" t="str">
        <x:v>UTC 2026-10-11T15:10:15.448545466Z</x:v>
      </x:c>
      <x:c r="K24" s="4" t="str">
        <x:v>lab-da9e2620-c41a-4997-a4eb-9403b35dd6df.json</x:v>
      </x:c>
      <x:c r="L24" s="4" t="str">
        <x:v>f67592d41f78870675c1ef5713340615ef1a992f5edd9d1286f87d2412dfe4b3</x:v>
      </x:c>
    </x:row>
    <x:row r="25" ht="25" customHeight="1">
      <x:c r="A25" s="4" t="str">
        <x:v>2f8c0183-c5eb-4632-b161-b57c6eb95042</x:v>
      </x:c>
      <x:c r="B25" s="4" t="str">
        <x:v>INITIAL_11_CASES</x:v>
      </x:c>
      <x:c r="C25" s="4" t="n">
        <x:v>1</x:v>
      </x:c>
      <x:c r="D25" s="4" t="str">
        <x:v>GET_FIXED</x:v>
      </x:c>
      <x:c r="E25" s="4" t="str">
        <x:v>없음</x:v>
      </x:c>
      <x:c r="F25" s="4" t="str">
        <x:v>STOPPED</x:v>
      </x:c>
      <x:c r="G25" s="4" t="str">
        <x:v>OBSERVED_ERROR</x:v>
      </x:c>
      <x:c r="H25" s="4" t="n">
        <x:v>10000</x:v>
      </x:c>
      <x:c r="I25" s="4" t="n">
        <x:v>1</x:v>
      </x:c>
      <x:c r="J25" s="4" t="str">
        <x:v>UTC 2026-10-11T15:14:45.615729513Z</x:v>
      </x:c>
      <x:c r="K25" s="4" t="str">
        <x:v>lab-2f8c0183-c5eb-4632-b161-b57c6eb95042.json</x:v>
      </x:c>
      <x:c r="L25" s="4" t="str">
        <x:v>40de82d4fec910bd7a238cf4c314e551c69201cd2fa69fb4f96c4baba71ff537</x:v>
      </x:c>
    </x:row>
    <x:row r="26" ht="25" customHeight="1">
      <x:c r="A26" s="4" t="str">
        <x:v>d2381c7b-c97b-492c-b233-1838492c46b7</x:v>
      </x:c>
      <x:c r="B26" s="4" t="str">
        <x:v>INITIAL_11_CASES</x:v>
      </x:c>
      <x:c r="C26" s="4" t="n">
        <x:v>2</x:v>
      </x:c>
      <x:c r="D26" s="4" t="str">
        <x:v>GET_FIXED</x:v>
      </x:c>
      <x:c r="E26" s="4" t="str">
        <x:v>없음</x:v>
      </x:c>
      <x:c r="F26" s="4" t="str">
        <x:v>STOPPED</x:v>
      </x:c>
      <x:c r="G26" s="4" t="str">
        <x:v>OBSERVED_ERROR</x:v>
      </x:c>
      <x:c r="H26" s="4" t="n">
        <x:v>10000</x:v>
      </x:c>
      <x:c r="I26" s="4" t="n">
        <x:v>2</x:v>
      </x:c>
      <x:c r="J26" s="4" t="str">
        <x:v>UTC 2026-10-11T15:17:18.316327550Z</x:v>
      </x:c>
      <x:c r="K26" s="4" t="str">
        <x:v>lab-d2381c7b-c97b-492c-b233-1838492c46b7.json</x:v>
      </x:c>
      <x:c r="L26" s="4" t="str">
        <x:v>834a28eb7740648f1773aa78d6d93ea153f8cdc93fd226a47a119afd105cdc5c</x:v>
      </x:c>
    </x:row>
    <x:row r="27" ht="25" customHeight="1">
      <x:c r="A27" s="4" t="str">
        <x:v>489e33c1-cc4b-4921-a081-350bb185fbd5</x:v>
      </x:c>
      <x:c r="B27" s="4" t="str">
        <x:v>INITIAL_11_CASES</x:v>
      </x:c>
      <x:c r="C27" s="4" t="n">
        <x:v>3</x:v>
      </x:c>
      <x:c r="D27" s="4" t="str">
        <x:v>GET_FIXED</x:v>
      </x:c>
      <x:c r="E27" s="4" t="str">
        <x:v>없음</x:v>
      </x:c>
      <x:c r="F27" s="4" t="str">
        <x:v>STOPPED</x:v>
      </x:c>
      <x:c r="G27" s="4" t="str">
        <x:v>OBSERVED_ERROR</x:v>
      </x:c>
      <x:c r="H27" s="4" t="n">
        <x:v>10000</x:v>
      </x:c>
      <x:c r="I27" s="4" t="n">
        <x:v>3</x:v>
      </x:c>
      <x:c r="J27" s="4" t="str">
        <x:v>UTC 2026-10-11T15:22:41.590633063Z</x:v>
      </x:c>
      <x:c r="K27" s="4" t="str">
        <x:v>lab-489e33c1-cc4b-4921-a081-350bb185fbd5.json</x:v>
      </x:c>
      <x:c r="L27" s="4" t="str">
        <x:v>3f434b497a5785cbd8a548551a02fcefa0423604c4dc36d303f730bb37ee0d32</x:v>
      </x:c>
    </x:row>
    <x:row r="28" ht="25" customHeight="1">
      <x:c r="A28" s="4" t="str">
        <x:v>b3d7fb89-4ca3-4e80-a639-d0b42015a8bb</x:v>
      </x:c>
      <x:c r="B28" s="4" t="str">
        <x:v>OTHER_EXPLORATORY</x:v>
      </x:c>
      <x:c r="C28" s="4" t="n">
        <x:v>2</x:v>
      </x:c>
      <x:c r="D28" s="4" t="str">
        <x:v>GET_FIXED</x:v>
      </x:c>
      <x:c r="E28" s="4" t="str">
        <x:v>B01</x:v>
      </x:c>
      <x:c r="F28" s="4" t="str">
        <x:v>STOPPED</x:v>
      </x:c>
      <x:c r="G28" s="4" t="str">
        <x:v>OBSERVED_ERROR</x:v>
      </x:c>
      <x:c r="H28" s="4" t="n">
        <x:v>30000</x:v>
      </x:c>
      <x:c r="I28" s="4" t="n">
        <x:v>1</x:v>
      </x:c>
      <x:c r="J28" s="4" t="str">
        <x:v>UTC 2026-10-11T16:29:43.796386821Z</x:v>
      </x:c>
      <x:c r="K28" s="4" t="str">
        <x:v>lab-b3d7fb89-4ca3-4e80-a639-d0b42015a8bb.json</x:v>
      </x:c>
      <x:c r="L28" s="4" t="str">
        <x:v>bbd1a1aeab2398c7ef92a170f0070e0affee381c73a9c09f41de9ef586e4a3c5</x:v>
      </x:c>
    </x:row>
    <x:row r="29" ht="25" customHeight="1">
      <x:c r="A29" s="4" t="str">
        <x:v>5a194a1c-824c-41c7-a581-cb9da902ee5f</x:v>
      </x:c>
      <x:c r="B29" s="4" t="str">
        <x:v>OTHER_EXPLORATORY</x:v>
      </x:c>
      <x:c r="C29" s="4" t="n">
        <x:v>1</x:v>
      </x:c>
      <x:c r="D29" s="4" t="str">
        <x:v>GET_RETRY</x:v>
      </x:c>
      <x:c r="E29" s="4" t="str">
        <x:v>R01</x:v>
      </x:c>
      <x:c r="F29" s="4" t="str">
        <x:v>STOPPED</x:v>
      </x:c>
      <x:c r="G29" s="4" t="str">
        <x:v>OBSERVED_ERROR</x:v>
      </x:c>
      <x:c r="H29" s="4" t="n">
        <x:v>30000</x:v>
      </x:c>
      <x:c r="I29" s="4" t="n">
        <x:v>1</x:v>
      </x:c>
      <x:c r="J29" s="4" t="str">
        <x:v>UTC 2026-10-11T16:37:30.863634060Z</x:v>
      </x:c>
      <x:c r="K29" s="4" t="str">
        <x:v>lab-5a194a1c-824c-41c7-a581-cb9da902ee5f.json</x:v>
      </x:c>
      <x:c r="L29" s="4" t="str">
        <x:v>04f450534c38e997da4bf0aee0907ebbc506d58a1031955696266586671eaa90</x:v>
      </x:c>
    </x:row>
    <x:row r="30" ht="25" customHeight="1">
      <x:c r="A30" s="4" t="str">
        <x:v>4bfb484c-0b9d-4515-91d7-5f11b9c9cda1</x:v>
      </x:c>
      <x:c r="B30" s="4" t="str">
        <x:v>OTHER_EXPLORATORY</x:v>
      </x:c>
      <x:c r="C30" s="4" t="n">
        <x:v>1</x:v>
      </x:c>
      <x:c r="D30" s="4" t="str">
        <x:v>GET_RETRY</x:v>
      </x:c>
      <x:c r="E30" s="4" t="str">
        <x:v>R02</x:v>
      </x:c>
      <x:c r="F30" s="4" t="str">
        <x:v>STOPPED</x:v>
      </x:c>
      <x:c r="G30" s="4" t="str">
        <x:v>OBSERVED_ERROR</x:v>
      </x:c>
      <x:c r="H30" s="4" t="n">
        <x:v>30000</x:v>
      </x:c>
      <x:c r="I30" s="4" t="n">
        <x:v>1</x:v>
      </x:c>
      <x:c r="J30" s="4" t="str">
        <x:v>UTC 2026-10-11T16:44:07.109401274Z</x:v>
      </x:c>
      <x:c r="K30" s="4" t="str">
        <x:v>lab-4bfb484c-0b9d-4515-91d7-5f11b9c9cda1.json</x:v>
      </x:c>
      <x:c r="L30" s="4" t="str">
        <x:v>71b89ac274aab122ebd8b4bf7ffe31141fd3f81ae53491be0316991b0c12f6bd</x:v>
      </x:c>
    </x:row>
    <x:row r="31" ht="25" customHeight="1">
      <x:c r="A31" s="4" t="str">
        <x:v>3f350177-709e-4394-aa6a-4d129c56dedd</x:v>
      </x:c>
      <x:c r="B31" s="4" t="str">
        <x:v>OTHER_EXPLORATORY</x:v>
      </x:c>
      <x:c r="C31" s="4" t="n">
        <x:v>1</x:v>
      </x:c>
      <x:c r="D31" s="4" t="str">
        <x:v>GET_FIXED</x:v>
      </x:c>
      <x:c r="E31" s="4" t="str">
        <x:v>B01</x:v>
      </x:c>
      <x:c r="F31" s="4" t="str">
        <x:v>STOPPED</x:v>
      </x:c>
      <x:c r="G31" s="4" t="str">
        <x:v>RETRY_AFTER_OR_OVERLOAD</x:v>
      </x:c>
      <x:c r="H31" s="4" t="n">
        <x:v>30000</x:v>
      </x:c>
      <x:c r="I31" s="4" t="n">
        <x:v>1</x:v>
      </x:c>
      <x:c r="J31" s="4" t="str">
        <x:v>UTC 2026-10-11T16:50:32.863422890Z</x:v>
      </x:c>
      <x:c r="K31" s="4" t="str">
        <x:v>lab-3f350177-709e-4394-aa6a-4d129c56dedd.json</x:v>
      </x:c>
      <x:c r="L31" s="4" t="str">
        <x:v>0861e9d940adeca535dcb5ae2d72460bdd2a657229261c25571c74520550ec8a</x:v>
      </x:c>
    </x:row>
    <x:row r="32" ht="25" customHeight="1">
      <x:c r="A32" s="4" t="str">
        <x:v>f0acb2f8-e05e-40f6-814e-3e3f8ebfdb73</x:v>
      </x:c>
      <x:c r="B32" s="4" t="str">
        <x:v>OTHER_EXPLORATORY</x:v>
      </x:c>
      <x:c r="C32" s="4" t="n">
        <x:v>1</x:v>
      </x:c>
      <x:c r="D32" s="4" t="str">
        <x:v>GET_RETRY</x:v>
      </x:c>
      <x:c r="E32" s="4" t="str">
        <x:v>R02</x:v>
      </x:c>
      <x:c r="F32" s="4" t="str">
        <x:v>STOPPED</x:v>
      </x:c>
      <x:c r="G32" s="4" t="str">
        <x:v>OBSERVED_ERROR</x:v>
      </x:c>
      <x:c r="H32" s="4" t="n">
        <x:v>30000</x:v>
      </x:c>
      <x:c r="I32" s="4" t="n">
        <x:v>1</x:v>
      </x:c>
      <x:c r="J32" s="4" t="str">
        <x:v>UTC 2026-10-11T16:55:24.645812936Z</x:v>
      </x:c>
      <x:c r="K32" s="4" t="str">
        <x:v>lab-f0acb2f8-e05e-40f6-814e-3e3f8ebfdb73.json</x:v>
      </x:c>
      <x:c r="L32" s="4" t="str">
        <x:v>958e9b28e8d7b18d1237d6a4a3944dcfd432a36f98817c05be795d7e48f28365</x:v>
      </x:c>
    </x:row>
    <x:row r="33" ht="25" customHeight="1">
      <x:c r="A33" s="4" t="str">
        <x:v>af283831-9960-4b48-a7ca-612720d4e20f</x:v>
      </x:c>
      <x:c r="B33" s="4" t="str">
        <x:v>FOLLOWUP_130_HTTP</x:v>
      </x:c>
      <x:c r="C33" s="4" t="n">
        <x:v>1</x:v>
      </x:c>
      <x:c r="D33" s="4" t="str">
        <x:v>GET_FIXED</x:v>
      </x:c>
      <x:c r="E33" s="4" t="str">
        <x:v>B01</x:v>
      </x:c>
      <x:c r="F33" s="4" t="str">
        <x:v>STOPPED</x:v>
      </x:c>
      <x:c r="G33" s="4" t="str">
        <x:v>RETRY_AFTER_OR_OVERLOAD</x:v>
      </x:c>
      <x:c r="H33" s="4" t="n">
        <x:v>30000</x:v>
      </x:c>
      <x:c r="I33" s="4" t="n">
        <x:v>1</x:v>
      </x:c>
      <x:c r="J33" s="4" t="str">
        <x:v>UTC 2026-10-11T17:08:33.729180562Z</x:v>
      </x:c>
      <x:c r="K33" s="4" t="str">
        <x:v>lab-af283831-9960-4b48-a7ca-612720d4e20f.json</x:v>
      </x:c>
      <x:c r="L33" s="4" t="str">
        <x:v>25c694407b5cce3526fb29fc1cfd84a76d41f91a6dc0a419fe053c715e8fc703</x:v>
      </x:c>
    </x:row>
    <x:row r="34" ht="25" customHeight="1">
      <x:c r="A34" s="4" t="str">
        <x:v>9a1de23e-044b-49f9-aba4-6dc2e60323b9</x:v>
      </x:c>
      <x:c r="B34" s="4" t="str">
        <x:v>FOLLOWUP_130_HTTP</x:v>
      </x:c>
      <x:c r="C34" s="4" t="n">
        <x:v>1</x:v>
      </x:c>
      <x:c r="D34" s="4" t="str">
        <x:v>GET_RETRY</x:v>
      </x:c>
      <x:c r="E34" s="4" t="str">
        <x:v>R02</x:v>
      </x:c>
      <x:c r="F34" s="4" t="str">
        <x:v>COMPLETED</x:v>
      </x:c>
      <x:c r="G34" s="4" t="str"/>
      <x:c r="H34" s="4" t="n">
        <x:v>30000</x:v>
      </x:c>
      <x:c r="I34" s="4" t="n">
        <x:v>1</x:v>
      </x:c>
      <x:c r="J34" s="4" t="str">
        <x:v>UTC 2026-10-11T17:10:04.182721325Z</x:v>
      </x:c>
      <x:c r="K34" s="4" t="str">
        <x:v>lab-9a1de23e-044b-49f9-aba4-6dc2e60323b9.json</x:v>
      </x:c>
      <x:c r="L34" s="4" t="str">
        <x:v>a6d40424f18655649c1f933298d637ec948ed0a340fe28c5145e86c335952239</x:v>
      </x:c>
    </x:row>
    <x:row r="35" ht="25" customHeight="1">
      <x:c r="A35" s="4" t="str">
        <x:v>36a7e27c-3067-4620-a8db-e0690228ff33</x:v>
      </x:c>
      <x:c r="B35" s="4" t="str">
        <x:v>FOLLOWUP_130_HTTP</x:v>
      </x:c>
      <x:c r="C35" s="4" t="n">
        <x:v>1</x:v>
      </x:c>
      <x:c r="D35" s="4" t="str">
        <x:v>GET_RETRY</x:v>
      </x:c>
      <x:c r="E35" s="4" t="str">
        <x:v>R01</x:v>
      </x:c>
      <x:c r="F35" s="4" t="str">
        <x:v>STOPPED</x:v>
      </x:c>
      <x:c r="G35" s="4" t="str">
        <x:v>OBSERVED_ERROR</x:v>
      </x:c>
      <x:c r="H35" s="4" t="n">
        <x:v>30000</x:v>
      </x:c>
      <x:c r="I35" s="4" t="n">
        <x:v>1</x:v>
      </x:c>
      <x:c r="J35" s="4" t="str">
        <x:v>UTC 2026-10-11T17:11:03.519227405Z</x:v>
      </x:c>
      <x:c r="K35" s="4" t="str">
        <x:v>lab-36a7e27c-3067-4620-a8db-e0690228ff33.json</x:v>
      </x:c>
      <x:c r="L35" s="4" t="str">
        <x:v>947e42d150b5eff16a28f53cc71045fb45fc6257690c3cf9e1d0b5b5ca5d97dc</x:v>
      </x:c>
    </x:row>
    <x:row r="36" ht="25" customHeight="1">
      <x:c r="A36" s="4" t="str">
        <x:v>fa596d81-c243-483c-bf12-8df0a40f2ea1</x:v>
      </x:c>
      <x:c r="B36" s="4" t="str">
        <x:v>FOLLOWUP_130_HTTP</x:v>
      </x:c>
      <x:c r="C36" s="4" t="n">
        <x:v>1</x:v>
      </x:c>
      <x:c r="D36" s="4" t="str">
        <x:v>GET_RETRY</x:v>
      </x:c>
      <x:c r="E36" s="4" t="str">
        <x:v>R04</x:v>
      </x:c>
      <x:c r="F36" s="4" t="str">
        <x:v>COMPLETED</x:v>
      </x:c>
      <x:c r="G36" s="4" t="str"/>
      <x:c r="H36" s="4" t="n">
        <x:v>30000</x:v>
      </x:c>
      <x:c r="I36" s="4" t="n">
        <x:v>1</x:v>
      </x:c>
      <x:c r="J36" s="4" t="str">
        <x:v>UTC 2026-10-11T17:12:19.613371129Z</x:v>
      </x:c>
      <x:c r="K36" s="4" t="str">
        <x:v>lab-fa596d81-c243-483c-bf12-8df0a40f2ea1.json</x:v>
      </x:c>
      <x:c r="L36" s="4" t="str">
        <x:v>c83f0c966218f48834d8e9f4f57f4c045738ca33c7e1d39dab2909e4b268eb85</x:v>
      </x:c>
    </x:row>
    <x:row r="37" ht="25" customHeight="1">
      <x:c r="A37" s="4" t="str">
        <x:v>00fcd3c4-ce33-448b-a1c3-c5b8617139a3</x:v>
      </x:c>
      <x:c r="B37" s="4" t="str">
        <x:v>FOLLOWUP_130_HTTP</x:v>
      </x:c>
      <x:c r="C37" s="4" t="n">
        <x:v>1</x:v>
      </x:c>
      <x:c r="D37" s="4" t="str">
        <x:v>POLL_EXISTING</x:v>
      </x:c>
      <x:c r="E37" s="4" t="str">
        <x:v>P01</x:v>
      </x:c>
      <x:c r="F37" s="4" t="str">
        <x:v>STOPPED</x:v>
      </x:c>
      <x:c r="G37" s="4" t="str">
        <x:v>RETRY_AFTER_OR_OVERLOAD</x:v>
      </x:c>
      <x:c r="H37" s="4" t="n">
        <x:v>30000</x:v>
      </x:c>
      <x:c r="I37" s="4" t="n">
        <x:v>1</x:v>
      </x:c>
      <x:c r="J37" s="4" t="str">
        <x:v>UTC 2026-10-11T17:12:59.070389878Z</x:v>
      </x:c>
      <x:c r="K37" s="4" t="str">
        <x:v>lab-00fcd3c4-ce33-448b-a1c3-c5b8617139a3.json</x:v>
      </x:c>
      <x:c r="L37" s="4" t="str">
        <x:v>850ac4e06cb8dd37e13925da013990304484baf9be04babfaa2dc22ffc239795</x:v>
      </x:c>
    </x:row>
    <x:row r="38" ht="25" customHeight="1">
      <x:c r="A38" s="4" t="str">
        <x:v>4ff4f593-c904-4916-a2da-937217b90c98</x:v>
      </x:c>
      <x:c r="B38" s="4" t="str">
        <x:v>FOLLOWUP_130_HTTP</x:v>
      </x:c>
      <x:c r="C38" s="4" t="n">
        <x:v>2</x:v>
      </x:c>
      <x:c r="D38" s="4" t="str">
        <x:v>CREATE_POLL</x:v>
      </x:c>
      <x:c r="E38" s="4" t="str">
        <x:v>P02</x:v>
      </x:c>
      <x:c r="F38" s="4" t="str">
        <x:v>STOPPED</x:v>
      </x:c>
      <x:c r="G38" s="4" t="str">
        <x:v>OBSERVED_ERROR</x:v>
      </x:c>
      <x:c r="H38" s="4" t="n">
        <x:v>30000</x:v>
      </x:c>
      <x:c r="I38" s="4" t="n">
        <x:v>1</x:v>
      </x:c>
      <x:c r="J38" s="4" t="str">
        <x:v>UTC 2026-10-11T17:14:36.909566112Z</x:v>
      </x:c>
      <x:c r="K38" s="4" t="str">
        <x:v>lab-4ff4f593-c904-4916-a2da-937217b90c98.json</x:v>
      </x:c>
      <x:c r="L38" s="4" t="str">
        <x:v>b5d8ddbfe8df383d264cf1715da7fa74a827015ee1d480058c9d529f2f4ef4d6</x:v>
      </x:c>
    </x:row>
    <x:row r="39" ht="25" customHeight="1">
      <x:c r="A39" s="4" t="str">
        <x:v>a42e5d55-0aa3-4a75-9f70-418a803de39d</x:v>
      </x:c>
      <x:c r="B39" s="4" t="str">
        <x:v>FOLLOWUP_130_HTTP</x:v>
      </x:c>
      <x:c r="C39" s="4" t="n">
        <x:v>2</x:v>
      </x:c>
      <x:c r="D39" s="4" t="str">
        <x:v>CREATE_POLL</x:v>
      </x:c>
      <x:c r="E39" s="4" t="str">
        <x:v>P04</x:v>
      </x:c>
      <x:c r="F39" s="4" t="str">
        <x:v>STOPPED</x:v>
      </x:c>
      <x:c r="G39" s="4" t="str">
        <x:v>OBSERVED_ERROR</x:v>
      </x:c>
      <x:c r="H39" s="4" t="n">
        <x:v>30000</x:v>
      </x:c>
      <x:c r="I39" s="4" t="n">
        <x:v>1</x:v>
      </x:c>
      <x:c r="J39" s="4" t="str">
        <x:v>UTC 2026-10-11T17:16:09.036557165Z</x:v>
      </x:c>
      <x:c r="K39" s="4" t="str">
        <x:v>lab-a42e5d55-0aa3-4a75-9f70-418a803de39d.json</x:v>
      </x:c>
      <x:c r="L39" s="4" t="str">
        <x:v>8fed876ead7acb479f493b910b9518fff8fb16d722ad94ce63f12ca1880954cf</x:v>
      </x:c>
    </x:row>
    <x:row r="40" ht="25" customHeight="1">
      <x:c r="A40" s="4" t="str">
        <x:v>e67172ec-09be-4ea8-8f90-6d410aebdce5</x:v>
      </x:c>
      <x:c r="B40" s="4" t="str">
        <x:v>FOLLOWUP_130_HTTP</x:v>
      </x:c>
      <x:c r="C40" s="4" t="n">
        <x:v>1</x:v>
      </x:c>
      <x:c r="D40" s="4" t="str">
        <x:v>GET_FIXED</x:v>
      </x:c>
      <x:c r="E40" s="4" t="str">
        <x:v>B01</x:v>
      </x:c>
      <x:c r="F40" s="4" t="str">
        <x:v>STOPPED</x:v>
      </x:c>
      <x:c r="G40" s="4" t="str">
        <x:v>OBSERVED_ERROR</x:v>
      </x:c>
      <x:c r="H40" s="4" t="n">
        <x:v>30000</x:v>
      </x:c>
      <x:c r="I40" s="4" t="n">
        <x:v>1</x:v>
      </x:c>
      <x:c r="J40" s="4" t="str">
        <x:v>UTC 2026-10-11T17:32:26.428255803Z</x:v>
      </x:c>
      <x:c r="K40" s="4" t="str">
        <x:v>lab-e67172ec-09be-4ea8-8f90-6d410aebdce5.json</x:v>
      </x:c>
      <x:c r="L40" s="4" t="str">
        <x:v>3af83f3e342d7ace3fe0537566b55d0424f4efe9549626c84adb6c47c985bbfa</x:v>
      </x:c>
    </x:row>
    <x:row r="41" ht="25" customHeight="1">
      <x:c r="A41" s="4" t="str">
        <x:v>8c014f8a-8e13-4d71-98d3-9ce96cbe978f</x:v>
      </x:c>
      <x:c r="B41" s="4" t="str">
        <x:v>FOLLOWUP_130_HTTP</x:v>
      </x:c>
      <x:c r="C41" s="4" t="n">
        <x:v>1</x:v>
      </x:c>
      <x:c r="D41" s="4" t="str">
        <x:v>GET_FIXED</x:v>
      </x:c>
      <x:c r="E41" s="4" t="str">
        <x:v>C03</x:v>
      </x:c>
      <x:c r="F41" s="4" t="str">
        <x:v>STOPPED</x:v>
      </x:c>
      <x:c r="G41" s="4" t="str">
        <x:v>RETRY_AFTER_OR_OVERLOAD</x:v>
      </x:c>
      <x:c r="H41" s="4" t="n">
        <x:v>30000</x:v>
      </x:c>
      <x:c r="I41" s="4" t="n">
        <x:v>1</x:v>
      </x:c>
      <x:c r="J41" s="4" t="str">
        <x:v>UTC 2026-10-11T17:45:33.476286991Z</x:v>
      </x:c>
      <x:c r="K41" s="4" t="str">
        <x:v>lab-8c014f8a-8e13-4d71-98d3-9ce96cbe978f.json</x:v>
      </x:c>
      <x:c r="L41" s="4" t="str">
        <x:v>14206426a127b78f71cd014b1e891757ce39aef22e178620b797adefa35d56e7</x:v>
      </x:c>
    </x:row>
    <x:row r="42" ht="25" customHeight="1">
      <x:c r="A42" s="4" t="str">
        <x:v>c4e7adbc-a862-4e9a-911f-fd4821d87ec7</x:v>
      </x:c>
      <x:c r="B42" s="4" t="str">
        <x:v>FOLLOWUP_130_HTTP</x:v>
      </x:c>
      <x:c r="C42" s="4" t="n">
        <x:v>2</x:v>
      </x:c>
      <x:c r="D42" s="4" t="str">
        <x:v>GET_RETRY</x:v>
      </x:c>
      <x:c r="E42" s="4" t="str">
        <x:v>R02</x:v>
      </x:c>
      <x:c r="F42" s="4" t="str">
        <x:v>STOPPED</x:v>
      </x:c>
      <x:c r="G42" s="4" t="str">
        <x:v>OBSERVED_ERROR</x:v>
      </x:c>
      <x:c r="H42" s="4" t="n">
        <x:v>30000</x:v>
      </x:c>
      <x:c r="I42" s="4" t="n">
        <x:v>1</x:v>
      </x:c>
      <x:c r="J42" s="4" t="str">
        <x:v>UTC 2026-10-11T18:03:20.205901595Z</x:v>
      </x:c>
      <x:c r="K42" s="4" t="str">
        <x:v>lab-c4e7adbc-a862-4e9a-911f-fd4821d87ec7.json</x:v>
      </x:c>
      <x:c r="L42" s="4" t="str">
        <x:v>369f520025058c25846fc5b337ef0925a45277de4f8af4c0b258ffd2321f06c7</x:v>
      </x:c>
    </x:row>
    <x:row r="43" ht="25" customHeight="1">
      <x:c r="A43" s="4" t="str">
        <x:v>0f2532a0-73c0-43ea-b9a1-d7a49afe4562</x:v>
      </x:c>
      <x:c r="B43" s="4" t="str">
        <x:v>FOLLOWUP_130_HTTP</x:v>
      </x:c>
      <x:c r="C43" s="4" t="n">
        <x:v>1</x:v>
      </x:c>
      <x:c r="D43" s="4" t="str">
        <x:v>GET_RETRY</x:v>
      </x:c>
      <x:c r="E43" s="4" t="str">
        <x:v>R01</x:v>
      </x:c>
      <x:c r="F43" s="4" t="str">
        <x:v>COMPLETED</x:v>
      </x:c>
      <x:c r="G43" s="4" t="str"/>
      <x:c r="H43" s="4" t="n">
        <x:v>30000</x:v>
      </x:c>
      <x:c r="I43" s="4" t="n">
        <x:v>1</x:v>
      </x:c>
      <x:c r="J43" s="4" t="str">
        <x:v>UTC 2026-10-11T18:13:33.671432197Z</x:v>
      </x:c>
      <x:c r="K43" s="4" t="str">
        <x:v>lab-0f2532a0-73c0-43ea-b9a1-d7a49afe4562.json</x:v>
      </x:c>
      <x:c r="L43" s="4" t="str">
        <x:v>e9f5fe40eacfdf2414e5da625bc4102792b7bd8d735e5960023a3c649aedf5d8</x:v>
      </x:c>
    </x:row>
    <x:row r="44" ht="25" customHeight="1">
      <x:c r="A44" s="4" t="str">
        <x:v>d58d979a-5b67-4643-aad1-41f87602f647</x:v>
      </x:c>
      <x:c r="B44" s="4" t="str">
        <x:v>FOLLOWUP_130_HTTP</x:v>
      </x:c>
      <x:c r="C44" s="4" t="n">
        <x:v>1</x:v>
      </x:c>
      <x:c r="D44" s="4" t="str">
        <x:v>POLL_EXISTING</x:v>
      </x:c>
      <x:c r="E44" s="4" t="str">
        <x:v>P01</x:v>
      </x:c>
      <x:c r="F44" s="4" t="str">
        <x:v>STOPPED</x:v>
      </x:c>
      <x:c r="G44" s="4" t="str">
        <x:v>OBSERVED_ERROR</x:v>
      </x:c>
      <x:c r="H44" s="4" t="n">
        <x:v>30000</x:v>
      </x:c>
      <x:c r="I44" s="4" t="n">
        <x:v>1</x:v>
      </x:c>
      <x:c r="J44" s="4" t="str">
        <x:v>UTC 2026-10-11T18:14:18.959286953Z</x:v>
      </x:c>
      <x:c r="K44" s="4" t="str">
        <x:v>lab-d58d979a-5b67-4643-aad1-41f87602f647.json</x:v>
      </x:c>
      <x:c r="L44" s="4" t="str">
        <x:v>ddd61816306e1f3ce8b6c9bf4fc7eab7d3ac16315d7960e7c640121e225fbb34</x:v>
      </x:c>
    </x:row>
    <x:row r="45" ht="25" customHeight="1">
      <x:c r="A45" s="4" t="str">
        <x:v>ccc9290e-06c6-4f9c-9c76-e409eb068e4d</x:v>
      </x:c>
      <x:c r="B45" s="4" t="str">
        <x:v>FOLLOWUP_130_HTTP</x:v>
      </x:c>
      <x:c r="C45" s="4" t="n">
        <x:v>3</x:v>
      </x:c>
      <x:c r="D45" s="4" t="str">
        <x:v>GET_FIXED</x:v>
      </x:c>
      <x:c r="E45" s="4" t="str">
        <x:v>C03</x:v>
      </x:c>
      <x:c r="F45" s="4" t="str">
        <x:v>STOPPED</x:v>
      </x:c>
      <x:c r="G45" s="4" t="str">
        <x:v>RETRY_AFTER_OR_OVERLOAD</x:v>
      </x:c>
      <x:c r="H45" s="4" t="n">
        <x:v>30000</x:v>
      </x:c>
      <x:c r="I45" s="4" t="n">
        <x:v>1</x:v>
      </x:c>
      <x:c r="J45" s="4" t="str">
        <x:v>UTC 2026-10-11T18:14:43.777925285Z</x:v>
      </x:c>
      <x:c r="K45" s="4" t="str">
        <x:v>lab-ccc9290e-06c6-4f9c-9c76-e409eb068e4d.json</x:v>
      </x:c>
      <x:c r="L45" s="4" t="str">
        <x:v>6244a01c51afaee6ddddbb65cd5f72337e7caadea11d47dc5ac2fc1d24e84458</x:v>
      </x:c>
    </x:row>
  </x:sheetData>
  <x:pageMargins left="0.7" right="0.7" top="0.75" bottom="0.75" header="0.3" footer="0.3"/>
</x:worksheet>
</file>